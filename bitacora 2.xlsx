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45" windowHeight="11460"/>
  </bookViews>
  <sheets>
    <sheet name="bitacora diurno" sheetId="2" r:id="rId1"/>
    <sheet name="concentrado diur." sheetId="3" r:id="rId2"/>
    <sheet name="FECHAS" sheetId="4" r:id="rId3"/>
  </sheets>
  <definedNames>
    <definedName name="_xlnm._FilterDatabase" localSheetId="1" hidden="1">'concentrado diur.'!$A$5:$NW$20</definedName>
    <definedName name="_xlnm._FilterDatabase" localSheetId="0" hidden="1">'bitacora diurno'!$C$1:$C$111</definedName>
    <definedName name="_xlnm.Print_Area" localSheetId="0">'bitacora diurno'!$A$1:$H$113</definedName>
    <definedName name="_xlnm.Print_Area" localSheetId="1">'concentrado diur.'!$A$1:$T$20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<sst xmlns="http://schemas.openxmlformats.org/spreadsheetml/2006/main" count="297" uniqueCount="77">
  <si>
    <t>REGISTRO DIARIO DE INCIDENCIAS</t>
  </si>
  <si>
    <t>PERIODO ENERO- ABRIL  2026</t>
  </si>
  <si>
    <t>TURNOS: MAT Y MAT ESP</t>
  </si>
  <si>
    <t>001</t>
  </si>
  <si>
    <t>603 EAH</t>
  </si>
  <si>
    <t>SEMESTRAL</t>
  </si>
  <si>
    <t>P456</t>
  </si>
  <si>
    <t>002</t>
  </si>
  <si>
    <t>211-9</t>
  </si>
  <si>
    <t>PSICOLOGIA</t>
  </si>
  <si>
    <t>004</t>
  </si>
  <si>
    <t>AP17</t>
  </si>
  <si>
    <t>401-8</t>
  </si>
  <si>
    <t>008</t>
  </si>
  <si>
    <t>511-9</t>
  </si>
  <si>
    <t>INGLES</t>
  </si>
  <si>
    <t>P274</t>
  </si>
  <si>
    <t>AP8</t>
  </si>
  <si>
    <t>101-8</t>
  </si>
  <si>
    <t>CIVIL</t>
  </si>
  <si>
    <t>701-8</t>
  </si>
  <si>
    <t>601 FMQB</t>
  </si>
  <si>
    <t>P466</t>
  </si>
  <si>
    <t>P433</t>
  </si>
  <si>
    <t>602 FMQB</t>
  </si>
  <si>
    <t>P347</t>
  </si>
  <si>
    <t>P453</t>
  </si>
  <si>
    <t>P452</t>
  </si>
  <si>
    <t>AP36</t>
  </si>
  <si>
    <t>FINANZAS</t>
  </si>
  <si>
    <t>A238</t>
  </si>
  <si>
    <t>AP37</t>
  </si>
  <si>
    <t>AP5</t>
  </si>
  <si>
    <t>P440</t>
  </si>
  <si>
    <t>S 102</t>
  </si>
  <si>
    <t>P449</t>
  </si>
  <si>
    <t>AP22</t>
  </si>
  <si>
    <t>AP27</t>
  </si>
  <si>
    <t>P472</t>
  </si>
  <si>
    <t>A185</t>
  </si>
  <si>
    <t>Concentrado General De Catedráticos Y Grupos.</t>
  </si>
  <si>
    <t>PERIODO ENERO-ABRIL 2026</t>
  </si>
  <si>
    <t>MATUTINO 2026</t>
  </si>
  <si>
    <t>Aula</t>
  </si>
  <si>
    <t>Gpo.</t>
  </si>
  <si>
    <t>Licenciatura</t>
  </si>
  <si>
    <t>Opt</t>
  </si>
  <si>
    <t>Lunes</t>
  </si>
  <si>
    <t>Martes</t>
  </si>
  <si>
    <t>Miércoles</t>
  </si>
  <si>
    <t>Jueves</t>
  </si>
  <si>
    <t>Viernes</t>
  </si>
  <si>
    <t>12:00</t>
  </si>
  <si>
    <t>13:00</t>
  </si>
  <si>
    <t>14:00</t>
  </si>
  <si>
    <t>601-8</t>
  </si>
  <si>
    <t>NEGOCIOS</t>
  </si>
  <si>
    <t>007</t>
  </si>
  <si>
    <t>501-8</t>
  </si>
  <si>
    <t>201-8</t>
  </si>
  <si>
    <t>411-9</t>
  </si>
  <si>
    <t>111-9</t>
  </si>
  <si>
    <t>FMQB</t>
  </si>
  <si>
    <t>P413</t>
  </si>
  <si>
    <t>AP20</t>
  </si>
  <si>
    <t>P2396</t>
  </si>
  <si>
    <t>AP21</t>
  </si>
  <si>
    <t>A921</t>
  </si>
  <si>
    <t>A927</t>
  </si>
  <si>
    <t>EAH</t>
  </si>
  <si>
    <t>LUNES 16 DE FEBRERO DEL 2026</t>
  </si>
  <si>
    <t xml:space="preserve">SEM 7 LIC </t>
  </si>
  <si>
    <t>SEM 1 SEM</t>
  </si>
  <si>
    <t>MARTES 17 DE FEBRERO DEL 2026</t>
  </si>
  <si>
    <t>MIERCOLES 18 DE FEBRERO DEL 2026</t>
  </si>
  <si>
    <t>JUEVES 19 DE FEBRERO DEL 2026</t>
  </si>
  <si>
    <t>VIERNES 20 DE FEBRERO DEL 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</si>
</sst>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41">
    <font>
      <sz val="11"/>
      <color theme="1"/>
      <name val="Calibri"/>
      <charset val="134"/>
      <scheme val="minor"/>
    </font>
    <font>
      <sz val="14"/>
      <color theme="1"/>
      <name val="Arial"/>
      <charset val="134"/>
    </font>
    <font>
      <b/>
      <sz val="18"/>
      <name val="Book Antiqua"/>
      <charset val="134"/>
    </font>
    <font>
      <b/>
      <sz val="16"/>
      <name val="Monotype Corsiva"/>
      <charset val="134"/>
    </font>
    <font>
      <b/>
      <sz val="14"/>
      <name val="Arial"/>
      <charset val="134"/>
    </font>
    <font>
      <sz val="14"/>
      <name val="Arial"/>
      <charset val="134"/>
    </font>
    <font>
      <sz val="16"/>
      <name val="Monotype Corsiva"/>
      <charset val="134"/>
    </font>
    <font>
      <b/>
      <sz val="16"/>
      <name val="Calibri"/>
      <charset val="134"/>
    </font>
    <font>
      <b/>
      <sz val="11"/>
      <name val="Arial"/>
      <charset val="134"/>
    </font>
    <font>
      <b/>
      <sz val="16"/>
      <name val="Calibri"/>
      <charset val="134"/>
      <scheme val="minor"/>
    </font>
    <font>
      <b/>
      <sz val="14"/>
      <name val="Calibri"/>
      <charset val="134"/>
    </font>
    <font>
      <b/>
      <sz val="16"/>
      <color theme="1"/>
      <name val="Calibri"/>
      <charset val="134"/>
    </font>
    <font>
      <b/>
      <sz val="12"/>
      <name val="Monotype Corsiva"/>
      <charset val="134"/>
    </font>
    <font>
      <sz val="11"/>
      <color theme="1"/>
      <name val="Monotype Corsiva"/>
      <charset val="134"/>
    </font>
    <font>
      <b/>
      <u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8"/>
      <color theme="1"/>
      <name val="Calibri"/>
      <charset val="134"/>
      <scheme val="minor"/>
    </font>
    <font>
      <u/>
      <sz val="11"/>
      <color theme="1"/>
      <name val="Arial"/>
      <charset val="134"/>
    </font>
    <font>
      <b/>
      <u/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u/>
      <sz val="16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6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rgb="FF0000CC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rgb="FF0000C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2" borderId="38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9" applyNumberFormat="0" applyFill="0" applyAlignment="0" applyProtection="0">
      <alignment vertical="center"/>
    </xf>
    <xf numFmtId="0" fontId="28" fillId="0" borderId="39" applyNumberFormat="0" applyFill="0" applyAlignment="0" applyProtection="0">
      <alignment vertical="center"/>
    </xf>
    <xf numFmtId="0" fontId="29" fillId="0" borderId="40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" borderId="41" applyNumberFormat="0" applyAlignment="0" applyProtection="0">
      <alignment vertical="center"/>
    </xf>
    <xf numFmtId="0" fontId="31" fillId="4" borderId="42" applyNumberFormat="0" applyAlignment="0" applyProtection="0">
      <alignment vertical="center"/>
    </xf>
    <xf numFmtId="0" fontId="32" fillId="4" borderId="41" applyNumberFormat="0" applyAlignment="0" applyProtection="0">
      <alignment vertical="center"/>
    </xf>
    <xf numFmtId="0" fontId="33" fillId="5" borderId="43" applyNumberFormat="0" applyAlignment="0" applyProtection="0">
      <alignment vertical="center"/>
    </xf>
    <xf numFmtId="0" fontId="34" fillId="0" borderId="44" applyNumberFormat="0" applyFill="0" applyAlignment="0" applyProtection="0">
      <alignment vertical="center"/>
    </xf>
    <xf numFmtId="0" fontId="35" fillId="0" borderId="45" applyNumberFormat="0" applyFill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</cellStyleXfs>
  <cellXfs count="8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3" fillId="0" borderId="4" xfId="0" applyFont="1" applyBorder="1" applyAlignment="1">
      <alignment horizontal="left" vertical="center" textRotation="90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12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4" fillId="0" borderId="13" xfId="0" applyFont="1" applyBorder="1" applyAlignment="1">
      <alignment horizontal="left" wrapText="1"/>
    </xf>
    <xf numFmtId="0" fontId="8" fillId="0" borderId="6" xfId="0" applyFont="1" applyBorder="1" applyAlignment="1">
      <alignment horizontal="left" wrapText="1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9" fillId="0" borderId="4" xfId="0" applyFont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0" fontId="7" fillId="0" borderId="4" xfId="0" applyFont="1" applyBorder="1" applyAlignment="1">
      <alignment wrapText="1"/>
    </xf>
    <xf numFmtId="0" fontId="4" fillId="0" borderId="1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10" fillId="0" borderId="6" xfId="0" applyFont="1" applyBorder="1" applyAlignment="1">
      <alignment horizontal="left" wrapText="1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textRotation="90"/>
    </xf>
    <xf numFmtId="0" fontId="6" fillId="0" borderId="6" xfId="0" applyFont="1" applyBorder="1" applyAlignment="1">
      <alignment horizontal="center" vertical="center" textRotation="90"/>
    </xf>
    <xf numFmtId="0" fontId="11" fillId="0" borderId="6" xfId="0" applyFont="1" applyBorder="1"/>
    <xf numFmtId="0" fontId="0" fillId="0" borderId="0" xfId="0" applyAlignment="1">
      <alignment horizontal="center"/>
    </xf>
    <xf numFmtId="0" fontId="12" fillId="0" borderId="0" xfId="0" applyFont="1"/>
    <xf numFmtId="0" fontId="13" fillId="0" borderId="0" xfId="0" applyFont="1" applyFill="1" applyAlignment="1">
      <alignment horizontal="left"/>
    </xf>
    <xf numFmtId="0" fontId="13" fillId="0" borderId="0" xfId="0" applyFont="1" applyFill="1"/>
    <xf numFmtId="0" fontId="14" fillId="0" borderId="16" xfId="0" applyFont="1" applyFill="1" applyBorder="1" applyAlignment="1">
      <alignment horizontal="center"/>
    </xf>
    <xf numFmtId="0" fontId="14" fillId="0" borderId="17" xfId="0" applyFont="1" applyFill="1" applyBorder="1" applyAlignment="1">
      <alignment horizontal="center"/>
    </xf>
    <xf numFmtId="0" fontId="14" fillId="0" borderId="18" xfId="0" applyFont="1" applyFill="1" applyBorder="1" applyAlignment="1">
      <alignment horizontal="center"/>
    </xf>
    <xf numFmtId="0" fontId="14" fillId="0" borderId="19" xfId="0" applyFont="1" applyFill="1" applyBorder="1" applyAlignment="1">
      <alignment horizontal="center"/>
    </xf>
    <xf numFmtId="0" fontId="14" fillId="0" borderId="20" xfId="0" applyFont="1" applyFill="1" applyBorder="1" applyAlignment="1">
      <alignment horizontal="center"/>
    </xf>
    <xf numFmtId="0" fontId="15" fillId="0" borderId="20" xfId="0" applyFont="1" applyFill="1" applyBorder="1" applyAlignment="1">
      <alignment horizontal="center"/>
    </xf>
    <xf numFmtId="0" fontId="16" fillId="0" borderId="21" xfId="0" applyFont="1" applyFill="1" applyBorder="1"/>
    <xf numFmtId="0" fontId="14" fillId="0" borderId="22" xfId="0" applyFont="1" applyFill="1" applyBorder="1" applyAlignment="1">
      <alignment horizontal="left"/>
    </xf>
    <xf numFmtId="20" fontId="14" fillId="0" borderId="22" xfId="0" applyNumberFormat="1" applyFont="1" applyFill="1" applyBorder="1" applyAlignment="1">
      <alignment horizontal="left"/>
    </xf>
    <xf numFmtId="0" fontId="17" fillId="0" borderId="22" xfId="0" applyFont="1" applyFill="1" applyBorder="1" applyAlignment="1">
      <alignment horizontal="left"/>
    </xf>
    <xf numFmtId="0" fontId="18" fillId="0" borderId="0" xfId="0" applyFont="1" applyFill="1"/>
    <xf numFmtId="0" fontId="15" fillId="0" borderId="0" xfId="0" applyFont="1" applyFill="1" applyAlignment="1">
      <alignment horizontal="left"/>
    </xf>
    <xf numFmtId="0" fontId="14" fillId="0" borderId="0" xfId="0" applyFont="1" applyFill="1" applyAlignment="1">
      <alignment horizontal="left"/>
    </xf>
    <xf numFmtId="0" fontId="14" fillId="0" borderId="16" xfId="0" applyFont="1" applyFill="1" applyBorder="1" applyAlignment="1">
      <alignment horizontal="center" vertical="center"/>
    </xf>
    <xf numFmtId="0" fontId="14" fillId="0" borderId="17" xfId="0" applyFont="1" applyFill="1" applyBorder="1" applyAlignment="1">
      <alignment horizontal="center" vertical="center"/>
    </xf>
    <xf numFmtId="0" fontId="14" fillId="0" borderId="18" xfId="0" applyFont="1" applyFill="1" applyBorder="1" applyAlignment="1">
      <alignment horizontal="center" vertical="center"/>
    </xf>
    <xf numFmtId="0" fontId="16" fillId="0" borderId="20" xfId="0" applyFont="1" applyFill="1" applyBorder="1" applyAlignment="1">
      <alignment horizontal="center"/>
    </xf>
    <xf numFmtId="0" fontId="14" fillId="0" borderId="23" xfId="0" applyFont="1" applyFill="1" applyBorder="1" applyAlignment="1">
      <alignment horizontal="left"/>
    </xf>
    <xf numFmtId="20" fontId="14" fillId="0" borderId="23" xfId="0" applyNumberFormat="1" applyFont="1" applyFill="1" applyBorder="1" applyAlignment="1">
      <alignment horizontal="left"/>
    </xf>
    <xf numFmtId="0" fontId="17" fillId="0" borderId="8" xfId="0" applyFont="1" applyFill="1" applyBorder="1" applyAlignment="1">
      <alignment horizontal="left"/>
    </xf>
    <xf numFmtId="0" fontId="14" fillId="0" borderId="24" xfId="0" applyFont="1" applyFill="1" applyBorder="1" applyAlignment="1">
      <alignment horizontal="center"/>
    </xf>
    <xf numFmtId="0" fontId="14" fillId="0" borderId="0" xfId="0" applyFont="1" applyFill="1" applyAlignment="1">
      <alignment horizontal="center"/>
    </xf>
    <xf numFmtId="0" fontId="14" fillId="0" borderId="25" xfId="0" applyFont="1" applyFill="1" applyBorder="1" applyAlignment="1">
      <alignment horizontal="left"/>
    </xf>
    <xf numFmtId="0" fontId="19" fillId="0" borderId="25" xfId="0" applyFont="1" applyFill="1" applyBorder="1" applyAlignment="1">
      <alignment horizontal="left"/>
    </xf>
    <xf numFmtId="0" fontId="14" fillId="0" borderId="26" xfId="0" applyFont="1" applyFill="1" applyBorder="1" applyAlignment="1">
      <alignment horizontal="center"/>
    </xf>
    <xf numFmtId="0" fontId="14" fillId="0" borderId="27" xfId="0" applyFont="1" applyFill="1" applyBorder="1" applyAlignment="1">
      <alignment horizontal="center"/>
    </xf>
    <xf numFmtId="0" fontId="14" fillId="0" borderId="28" xfId="0" applyFont="1" applyFill="1" applyBorder="1" applyAlignment="1">
      <alignment horizontal="center"/>
    </xf>
    <xf numFmtId="0" fontId="17" fillId="0" borderId="29" xfId="0" applyFont="1" applyFill="1" applyBorder="1" applyAlignment="1">
      <alignment horizontal="center" vertical="center"/>
    </xf>
    <xf numFmtId="0" fontId="17" fillId="0" borderId="0" xfId="0" applyFont="1" applyFill="1" applyAlignment="1">
      <alignment horizontal="center" vertical="center"/>
    </xf>
    <xf numFmtId="0" fontId="17" fillId="0" borderId="30" xfId="0" applyFont="1" applyFill="1" applyBorder="1" applyAlignment="1">
      <alignment horizontal="center" vertical="center"/>
    </xf>
    <xf numFmtId="0" fontId="17" fillId="0" borderId="31" xfId="0" applyFont="1" applyFill="1" applyBorder="1" applyAlignment="1">
      <alignment horizontal="center" vertical="center"/>
    </xf>
    <xf numFmtId="0" fontId="14" fillId="0" borderId="32" xfId="0" applyFont="1" applyFill="1" applyBorder="1" applyAlignment="1">
      <alignment horizontal="center"/>
    </xf>
    <xf numFmtId="0" fontId="14" fillId="0" borderId="33" xfId="0" applyFont="1" applyFill="1" applyBorder="1" applyAlignment="1">
      <alignment horizontal="center"/>
    </xf>
    <xf numFmtId="0" fontId="20" fillId="0" borderId="33" xfId="0" applyFont="1" applyFill="1" applyBorder="1" applyAlignment="1">
      <alignment horizontal="center"/>
    </xf>
    <xf numFmtId="0" fontId="16" fillId="0" borderId="34" xfId="0" applyFont="1" applyFill="1" applyBorder="1"/>
    <xf numFmtId="0" fontId="14" fillId="0" borderId="35" xfId="0" applyFont="1" applyFill="1" applyBorder="1" applyAlignment="1">
      <alignment horizontal="left"/>
    </xf>
    <xf numFmtId="20" fontId="14" fillId="0" borderId="35" xfId="0" applyNumberFormat="1" applyFont="1" applyFill="1" applyBorder="1" applyAlignment="1">
      <alignment horizontal="left"/>
    </xf>
    <xf numFmtId="20" fontId="14" fillId="0" borderId="29" xfId="0" applyNumberFormat="1" applyFont="1" applyFill="1" applyBorder="1" applyAlignment="1">
      <alignment horizontal="left"/>
    </xf>
    <xf numFmtId="0" fontId="14" fillId="0" borderId="29" xfId="0" applyFont="1" applyFill="1" applyBorder="1" applyAlignment="1">
      <alignment horizontal="center"/>
    </xf>
    <xf numFmtId="0" fontId="14" fillId="0" borderId="30" xfId="0" applyFont="1" applyFill="1" applyBorder="1" applyAlignment="1">
      <alignment horizontal="center"/>
    </xf>
    <xf numFmtId="0" fontId="14" fillId="0" borderId="31" xfId="0" applyFont="1" applyFill="1" applyBorder="1" applyAlignment="1">
      <alignment horizontal="center"/>
    </xf>
    <xf numFmtId="0" fontId="16" fillId="0" borderId="33" xfId="0" applyFont="1" applyFill="1" applyBorder="1" applyAlignment="1">
      <alignment horizontal="center"/>
    </xf>
    <xf numFmtId="20" fontId="14" fillId="0" borderId="36" xfId="0" applyNumberFormat="1" applyFont="1" applyFill="1" applyBorder="1" applyAlignment="1">
      <alignment horizontal="left"/>
    </xf>
    <xf numFmtId="20" fontId="14" fillId="0" borderId="37" xfId="0" applyNumberFormat="1" applyFont="1" applyFill="1" applyBorder="1" applyAlignment="1">
      <alignment horizontal="left"/>
    </xf>
    <xf numFmtId="20" fontId="14" fillId="0" borderId="0" xfId="0" applyNumberFormat="1" applyFont="1" applyFill="1" applyBorder="1" applyAlignment="1">
      <alignment horizontal="left"/>
    </xf>
    <xf numFmtId="0" fontId="21" fillId="0" borderId="8" xfId="0" applyFont="1" applyFill="1" applyBorder="1" applyAlignment="1">
      <alignment horizontal="left"/>
    </xf>
    <xf numFmtId="0" fontId="14" fillId="0" borderId="22" xfId="0" applyFont="1" applyFill="1" applyBorder="1" applyAlignment="1" quotePrefix="1">
      <alignment horizontal="left"/>
    </xf>
    <xf numFmtId="0" fontId="14" fillId="0" borderId="23" xfId="0" applyFont="1" applyFill="1" applyBorder="1" applyAlignment="1" quotePrefix="1">
      <alignment horizontal="left"/>
    </xf>
    <xf numFmtId="0" fontId="14" fillId="0" borderId="35" xfId="0" applyFont="1" applyFill="1" applyBorder="1" applyAlignment="1" quotePrefix="1">
      <alignment horizontal="left"/>
    </xf>
    <xf numFmtId="0" fontId="7" fillId="0" borderId="4" xfId="0" applyFont="1" applyBorder="1" applyAlignment="1" quotePrefix="1">
      <alignment horizontal="left"/>
    </xf>
    <xf numFmtId="0" fontId="11" fillId="0" borderId="6" xfId="0" applyFont="1" applyBorder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2">
    <dxf>
      <font>
        <color theme="0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175</xdr:colOff>
      <xdr:row>0</xdr:row>
      <xdr:rowOff>20261</xdr:rowOff>
    </xdr:from>
    <xdr:to>
      <xdr:col>19</xdr:col>
      <xdr:colOff>0</xdr:colOff>
      <xdr:row>3</xdr:row>
      <xdr:rowOff>27215</xdr:rowOff>
    </xdr:to>
    <xdr:grpSp>
      <xdr:nvGrpSpPr>
        <xdr:cNvPr id="2" name="Group 1"/>
        <xdr:cNvGrpSpPr/>
      </xdr:nvGrpSpPr>
      <xdr:grpSpPr>
        <a:xfrm>
          <a:off x="10534650" y="19685"/>
          <a:ext cx="514350" cy="864235"/>
          <a:chOff x="9214" y="9759"/>
          <a:chExt cx="1751" cy="639"/>
        </a:xfrm>
      </xdr:grpSpPr>
      <xdr:sp>
        <xdr:nvSpPr>
          <xdr:cNvPr id="3" name="Freeform 2"/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" name="Freeform 3"/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5" name="Freeform 4"/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6" name="Freeform 5"/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7" name="Freeform 6"/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8" name="Freeform 7"/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9" name="Freeform 8"/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>
        <xdr:nvSpPr>
          <xdr:cNvPr id="10" name="Freeform 9"/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1" name="Freeform 10"/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>
        <xdr:nvSpPr>
          <xdr:cNvPr id="12" name="Freeform 11"/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" name="Freeform 12"/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4" name="Freeform 13"/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5" name="Freeform 14"/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6" name="Freeform 15"/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7" name="Freeform 16"/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8" name="Freeform 17"/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" name="Freeform 18"/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0" name="Freeform 19"/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1" name="Freeform 20"/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2" name="Freeform 21"/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3" name="Freeform 22"/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4" name="Freeform 23"/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5" name="Freeform 24"/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6" name="Freeform 25"/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7" name="Freeform 26"/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8" name="Freeform 27"/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9" name="Freeform 28"/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0" name="Freeform 29"/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1" name="Freeform 30"/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2" name="Freeform 31"/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" name="Freeform 32"/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" name="Freeform 33"/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" name="Freeform 34"/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" name="Freeform 35"/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" name="Freeform 36"/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" name="Freeform 37"/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" name="Freeform 38"/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" name="Freeform 39"/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" name="Freeform 40"/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" name="Freeform 41"/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" name="Freeform 42"/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" name="Freeform 43"/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" name="Freeform 44"/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" name="Freeform 45"/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" name="Freeform 46"/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8" name="Freeform 47"/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9" name="Freeform 48"/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" name="Freeform 49"/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" name="Freeform 50"/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" name="Freeform 51"/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" name="Freeform 52"/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" name="Freeform 53"/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" name="Freeform 54"/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" name="Freeform 55"/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" name="Freeform 56"/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" name="Freeform 57"/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9" name="Freeform 58"/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0" name="Freeform 59"/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1" name="Freeform 60"/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2" name="Freeform 61"/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3" name="Freeform 62"/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4" name="Freeform 63"/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5" name="Freeform 64"/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6" name="Freeform 65"/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7" name="Freeform 66"/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8" name="Freeform 67"/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69" name="Freeform 68"/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0" name="Freeform 69"/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1" name="Freeform 70"/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2" name="Freeform 71"/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3" name="Freeform 72"/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4" name="Freeform 73"/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5" name="Freeform 74"/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6" name="Freeform 75"/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7" name="Freeform 76"/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8" name="Freeform 77"/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79" name="Freeform 78"/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0" name="Freeform 79"/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1" name="Freeform 80"/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2" name="Freeform 81"/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3" name="Freeform 82"/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4" name="Freeform 83"/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5" name="Freeform 84"/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6" name="Freeform 85"/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7" name="Freeform 86"/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8" name="Freeform 87"/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89" name="Freeform 88"/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0" name="Freeform 89"/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1" name="Freeform 90"/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2" name="Freeform 91"/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3" name="Freeform 92"/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4" name="Freeform 93"/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5" name="Freeform 94"/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6" name="Freeform 95"/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7" name="Freeform 96"/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8" name="Freeform 97"/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99" name="Freeform 98"/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0" name="Freeform 99"/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1" name="Freeform 100"/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2" name="Freeform 101"/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3" name="Freeform 102"/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4" name="Freeform 103"/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5" name="Freeform 104"/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6" name="Freeform 105"/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7" name="Freeform 106"/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8" name="Freeform 107"/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09" name="Freeform 108"/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0" name="Freeform 109"/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1" name="Freeform 110"/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2" name="Freeform 111"/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3" name="Freeform 112"/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4" name="Freeform 113"/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5" name="Freeform 114"/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6" name="Freeform 115"/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7" name="Freeform 116"/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8" name="Freeform 117"/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19" name="Freeform 118"/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0" name="Freeform 119"/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1" name="Freeform 120"/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2" name="Freeform 121"/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3" name="Freeform 122"/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4" name="Freeform 123"/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5" name="Freeform 124"/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6" name="Freeform 125"/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7" name="Freeform 126"/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8" name="Freeform 127"/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29" name="Freeform 128"/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0" name="Freeform 129"/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1" name="Freeform 130"/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2" name="Freeform 131"/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3" name="Freeform 132"/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4" name="Freeform 133"/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5" name="Freeform 134"/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6" name="Freeform 135"/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7" name="Freeform 136"/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8" name="Freeform 137"/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39" name="Freeform 138"/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0" name="Freeform 139"/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1" name="Freeform 140"/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2" name="Freeform 141"/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3" name="Freeform 142"/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4" name="Freeform 143"/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5" name="Freeform 144"/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6" name="Freeform 145"/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7" name="Freeform 146"/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8" name="Freeform 147"/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49" name="Freeform 148"/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0" name="Freeform 149"/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1" name="Freeform 150"/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2" name="Freeform 151"/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3" name="Freeform 152"/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4" name="Freeform 153"/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5" name="Freeform 154"/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6" name="Freeform 155"/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7" name="Freeform 156"/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8" name="Freeform 157"/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59" name="Freeform 158"/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0" name="Freeform 159"/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1" name="Freeform 160"/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2" name="Freeform 161"/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3" name="Freeform 162"/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4" name="Freeform 163"/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5" name="Freeform 164"/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6" name="Freeform 165"/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7" name="Freeform 166"/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8" name="Freeform 167"/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69" name="Freeform 168"/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0" name="Freeform 169"/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1" name="Freeform 170"/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2" name="Freeform 171"/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3" name="Freeform 172"/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4" name="Freeform 173"/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5" name="Freeform 174"/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6" name="Freeform 175"/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7" name="Freeform 176"/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8" name="Freeform 177"/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79" name="Freeform 178"/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80" name="Freeform 179"/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81" name="Freeform 180"/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82" name="Freeform 181"/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83" name="Freeform 182"/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184" name="Freeform 183"/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85" name="Freeform 184"/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86" name="Freeform 185"/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87" name="Freeform 186"/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88" name="Freeform 187"/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89" name="Freeform 188"/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0" name="Freeform 189"/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1" name="Freeform 190"/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2" name="Freeform 191"/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3" name="Freeform 192"/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4" name="Freeform 193"/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5" name="Freeform 194"/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6" name="Freeform 195"/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7" name="Freeform 196"/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8" name="Freeform 197"/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199" name="Freeform 198"/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00" name="Freeform 199"/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01" name="Freeform 200"/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2" name="Freeform 201"/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3" name="Freeform 202"/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4" name="Freeform 203"/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5" name="Freeform 204"/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6" name="Freeform 205"/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7" name="Freeform 206"/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8" name="Freeform 207"/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09" name="Freeform 208"/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0" name="Freeform 209"/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1" name="Freeform 210"/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2" name="Freeform 211"/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3" name="Freeform 212"/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4" name="Freeform 213"/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5" name="Freeform 214"/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6" name="Freeform 215"/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7" name="Freeform 216"/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8" name="Freeform 217"/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19" name="Freeform 218"/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0" name="Freeform 219"/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1" name="Freeform 220"/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2" name="Freeform 221"/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3" name="Freeform 222"/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4" name="Freeform 223"/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5" name="Freeform 224"/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6" name="Freeform 225"/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7" name="Freeform 226"/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8" name="Freeform 227"/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29" name="Freeform 228"/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0" name="Freeform 229"/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1" name="Freeform 230"/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2" name="Freeform 231"/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3" name="Freeform 232"/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4" name="Freeform 233"/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5" name="Freeform 234"/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6" name="Freeform 235"/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7" name="Freeform 236"/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8" name="Freeform 237"/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39" name="Freeform 238"/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0" name="Freeform 239"/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1" name="Freeform 240"/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2" name="Freeform 241"/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3" name="Freeform 242"/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4" name="Freeform 243"/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5" name="Freeform 244"/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6" name="Freeform 245"/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7" name="Freeform 246"/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8" name="Freeform 247"/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49" name="Freeform 248"/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0" name="Freeform 249"/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1" name="Freeform 250"/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2" name="Freeform 251"/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3" name="Freeform 252"/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4" name="Freeform 253"/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5" name="Freeform 254"/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6" name="Freeform 255"/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7" name="Freeform 256"/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8" name="Freeform 257"/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59" name="Freeform 258"/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0" name="Freeform 259"/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1" name="Freeform 260"/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2" name="Freeform 261"/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3" name="Freeform 262"/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4" name="Freeform 263"/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5" name="Freeform 264"/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6" name="Freeform 265"/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7" name="Freeform 266"/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8" name="Freeform 267"/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69" name="Freeform 268"/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0" name="Freeform 269"/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1" name="Freeform 270"/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2" name="Freeform 271"/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3" name="Freeform 272"/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4" name="Freeform 273"/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5" name="Freeform 274"/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6" name="Freeform 275"/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7" name="Freeform 276"/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8" name="Freeform 277"/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79" name="Freeform 278"/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0" name="Freeform 279"/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1" name="Freeform 280"/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2" name="Freeform 281"/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3" name="Freeform 282"/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4" name="Freeform 283"/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5" name="Freeform 284"/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6" name="Freeform 285"/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7" name="Freeform 286"/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8" name="Freeform 287"/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89" name="Freeform 288"/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90" name="Freeform 289"/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91" name="Freeform 290"/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92" name="Freeform 291"/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293" name="Freeform 292"/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94" name="Freeform 293"/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95" name="Freeform 294"/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96" name="Freeform 295"/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97" name="Freeform 296"/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298" name="Freeform 297"/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  <xdr:twoCellAnchor>
    <xdr:from>
      <xdr:col>17</xdr:col>
      <xdr:colOff>175</xdr:colOff>
      <xdr:row>0</xdr:row>
      <xdr:rowOff>20261</xdr:rowOff>
    </xdr:from>
    <xdr:to>
      <xdr:col>18</xdr:col>
      <xdr:colOff>0</xdr:colOff>
      <xdr:row>3</xdr:row>
      <xdr:rowOff>27215</xdr:rowOff>
    </xdr:to>
    <xdr:grpSp>
      <xdr:nvGrpSpPr>
        <xdr:cNvPr id="299" name="Group 1"/>
        <xdr:cNvGrpSpPr/>
      </xdr:nvGrpSpPr>
      <xdr:grpSpPr>
        <a:xfrm>
          <a:off x="10020300" y="19685"/>
          <a:ext cx="514350" cy="864235"/>
          <a:chOff x="9214" y="9759"/>
          <a:chExt cx="1751" cy="639"/>
        </a:xfrm>
      </xdr:grpSpPr>
      <xdr:sp>
        <xdr:nvSpPr>
          <xdr:cNvPr id="300" name="Freeform 2"/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01" name="Freeform 3"/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02" name="Freeform 4"/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03" name="Freeform 5"/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04" name="Freeform 6"/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05" name="Freeform 7"/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06" name="Freeform 8"/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>
        <xdr:nvSpPr>
          <xdr:cNvPr id="307" name="Freeform 9"/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08" name="Freeform 10"/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>
        <xdr:nvSpPr>
          <xdr:cNvPr id="309" name="Freeform 11"/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10" name="Freeform 12"/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1" name="Freeform 13"/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2" name="Freeform 14"/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3" name="Freeform 15"/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4" name="Freeform 16"/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5" name="Freeform 17"/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6" name="Freeform 18"/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7" name="Freeform 19"/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8" name="Freeform 20"/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19" name="Freeform 21"/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20" name="Freeform 22"/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21" name="Freeform 23"/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22" name="Freeform 24"/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23" name="Freeform 25"/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24" name="Freeform 26"/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325" name="Freeform 27"/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26" name="Freeform 28"/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27" name="Freeform 29"/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28" name="Freeform 30"/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29" name="Freeform 31"/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0" name="Freeform 32"/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1" name="Freeform 33"/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2" name="Freeform 34"/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3" name="Freeform 35"/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4" name="Freeform 36"/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5" name="Freeform 37"/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6" name="Freeform 38"/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7" name="Freeform 39"/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8" name="Freeform 40"/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39" name="Freeform 41"/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0" name="Freeform 42"/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1" name="Freeform 43"/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2" name="Freeform 44"/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3" name="Freeform 45"/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4" name="Freeform 46"/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5" name="Freeform 47"/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6" name="Freeform 48"/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7" name="Freeform 49"/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8" name="Freeform 50"/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49" name="Freeform 51"/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0" name="Freeform 52"/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1" name="Freeform 53"/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2" name="Freeform 54"/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3" name="Freeform 55"/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4" name="Freeform 56"/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5" name="Freeform 57"/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6" name="Freeform 58"/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7" name="Freeform 59"/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8" name="Freeform 60"/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59" name="Freeform 61"/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0" name="Freeform 62"/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1" name="Freeform 63"/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2" name="Freeform 64"/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3" name="Freeform 65"/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4" name="Freeform 66"/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5" name="Freeform 67"/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6" name="Freeform 68"/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7" name="Freeform 69"/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8" name="Freeform 70"/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69" name="Freeform 71"/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0" name="Freeform 72"/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1" name="Freeform 73"/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2" name="Freeform 74"/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3" name="Freeform 75"/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4" name="Freeform 76"/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5" name="Freeform 77"/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6" name="Freeform 78"/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7" name="Freeform 79"/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8" name="Freeform 80"/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79" name="Freeform 81"/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0" name="Freeform 82"/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1" name="Freeform 83"/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2" name="Freeform 84"/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3" name="Freeform 85"/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4" name="Freeform 86"/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5" name="Freeform 87"/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6" name="Freeform 88"/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7" name="Freeform 89"/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8" name="Freeform 90"/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89" name="Freeform 91"/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0" name="Freeform 92"/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1" name="Freeform 93"/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2" name="Freeform 94"/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3" name="Freeform 95"/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4" name="Freeform 96"/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5" name="Freeform 97"/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6" name="Freeform 98"/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7" name="Freeform 99"/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8" name="Freeform 100"/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399" name="Freeform 101"/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0" name="Freeform 102"/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1" name="Freeform 103"/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2" name="Freeform 104"/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3" name="Freeform 105"/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4" name="Freeform 106"/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5" name="Freeform 107"/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6" name="Freeform 108"/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7" name="Freeform 109"/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8" name="Freeform 110"/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09" name="Freeform 111"/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0" name="Freeform 112"/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1" name="Freeform 113"/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2" name="Freeform 114"/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3" name="Freeform 115"/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4" name="Freeform 116"/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5" name="Freeform 117"/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6" name="Freeform 118"/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7" name="Freeform 119"/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8" name="Freeform 120"/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19" name="Freeform 121"/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0" name="Freeform 122"/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1" name="Freeform 123"/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2" name="Freeform 124"/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3" name="Freeform 125"/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4" name="Freeform 126"/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5" name="Freeform 127"/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6" name="Freeform 128"/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7" name="Freeform 129"/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8" name="Freeform 130"/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29" name="Freeform 131"/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0" name="Freeform 132"/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1" name="Freeform 133"/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2" name="Freeform 134"/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3" name="Freeform 135"/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4" name="Freeform 136"/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5" name="Freeform 137"/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6" name="Freeform 138"/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7" name="Freeform 139"/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8" name="Freeform 140"/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39" name="Freeform 141"/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0" name="Freeform 142"/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1" name="Freeform 143"/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2" name="Freeform 144"/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3" name="Freeform 145"/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4" name="Freeform 146"/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5" name="Freeform 147"/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6" name="Freeform 148"/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7" name="Freeform 149"/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8" name="Freeform 150"/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49" name="Freeform 151"/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0" name="Freeform 152"/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1" name="Freeform 153"/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2" name="Freeform 154"/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3" name="Freeform 155"/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4" name="Freeform 156"/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5" name="Freeform 157"/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6" name="Freeform 158"/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7" name="Freeform 159"/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8" name="Freeform 160"/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59" name="Freeform 161"/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0" name="Freeform 162"/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1" name="Freeform 163"/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2" name="Freeform 164"/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3" name="Freeform 165"/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4" name="Freeform 166"/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5" name="Freeform 167"/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6" name="Freeform 168"/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7" name="Freeform 169"/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8" name="Freeform 170"/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69" name="Freeform 171"/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0" name="Freeform 172"/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1" name="Freeform 173"/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2" name="Freeform 174"/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3" name="Freeform 175"/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4" name="Freeform 176"/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5" name="Freeform 177"/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6" name="Freeform 178"/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7" name="Freeform 179"/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8" name="Freeform 180"/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79" name="Freeform 181"/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80" name="Freeform 182"/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81" name="Freeform 183"/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2" name="Freeform 184"/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3" name="Freeform 185"/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4" name="Freeform 186"/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5" name="Freeform 187"/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6" name="Freeform 188"/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7" name="Freeform 189"/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8" name="Freeform 190"/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89" name="Freeform 191"/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0" name="Freeform 192"/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1" name="Freeform 193"/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2" name="Freeform 194"/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3" name="Freeform 195"/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4" name="Freeform 196"/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5" name="Freeform 197"/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6" name="Freeform 198"/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7" name="Freeform 199"/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498" name="Freeform 200"/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499" name="Freeform 201"/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0" name="Freeform 202"/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1" name="Freeform 203"/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2" name="Freeform 204"/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3" name="Freeform 205"/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4" name="Freeform 206"/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5" name="Freeform 207"/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6" name="Freeform 208"/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7" name="Freeform 209"/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8" name="Freeform 210"/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09" name="Freeform 211"/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0" name="Freeform 212"/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1" name="Freeform 213"/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2" name="Freeform 214"/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3" name="Freeform 215"/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4" name="Freeform 216"/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5" name="Freeform 217"/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6" name="Freeform 218"/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7" name="Freeform 219"/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8" name="Freeform 220"/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19" name="Freeform 221"/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0" name="Freeform 222"/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1" name="Freeform 223"/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2" name="Freeform 224"/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3" name="Freeform 225"/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4" name="Freeform 226"/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5" name="Freeform 227"/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6" name="Freeform 228"/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7" name="Freeform 229"/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8" name="Freeform 230"/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29" name="Freeform 231"/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0" name="Freeform 232"/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1" name="Freeform 233"/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2" name="Freeform 234"/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3" name="Freeform 235"/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4" name="Freeform 236"/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5" name="Freeform 237"/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6" name="Freeform 238"/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7" name="Freeform 239"/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8" name="Freeform 240"/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39" name="Freeform 241"/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0" name="Freeform 242"/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1" name="Freeform 243"/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2" name="Freeform 244"/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3" name="Freeform 245"/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4" name="Freeform 246"/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5" name="Freeform 247"/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6" name="Freeform 248"/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7" name="Freeform 249"/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8" name="Freeform 250"/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49" name="Freeform 251"/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0" name="Freeform 252"/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1" name="Freeform 253"/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2" name="Freeform 254"/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3" name="Freeform 255"/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4" name="Freeform 256"/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5" name="Freeform 257"/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6" name="Freeform 258"/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7" name="Freeform 259"/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8" name="Freeform 260"/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59" name="Freeform 261"/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0" name="Freeform 262"/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1" name="Freeform 263"/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2" name="Freeform 264"/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3" name="Freeform 265"/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4" name="Freeform 266"/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5" name="Freeform 267"/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6" name="Freeform 268"/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7" name="Freeform 269"/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8" name="Freeform 270"/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69" name="Freeform 271"/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0" name="Freeform 272"/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1" name="Freeform 273"/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2" name="Freeform 274"/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3" name="Freeform 275"/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4" name="Freeform 276"/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5" name="Freeform 277"/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6" name="Freeform 278"/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7" name="Freeform 279"/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8" name="Freeform 280"/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79" name="Freeform 281"/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0" name="Freeform 282"/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1" name="Freeform 283"/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2" name="Freeform 284"/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3" name="Freeform 285"/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4" name="Freeform 286"/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5" name="Freeform 287"/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6" name="Freeform 288"/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7" name="Freeform 289"/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8" name="Freeform 290"/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89" name="Freeform 291"/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>
        <xdr:nvSpPr>
          <xdr:cNvPr id="590" name="Freeform 292"/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591" name="Freeform 293"/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592" name="Freeform 294"/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593" name="Freeform 295"/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594" name="Freeform 296"/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>
        <xdr:nvSpPr>
          <xdr:cNvPr id="595" name="Freeform 297"/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114"/>
  <sheetViews>
    <sheetView tabSelected="1" view="pageBreakPreview" zoomScale="91" zoomScalePageLayoutView="32" zoomScaleNormal="40" topLeftCell="A96" workbookViewId="0">
      <selection activeCell="F101" sqref="F101"/>
    </sheetView>
  </sheetViews>
  <sheetFormatPr defaultColWidth="12.5714285714286" defaultRowHeight="15"/>
  <cols>
    <col min="1" max="1" width="9.71428571428571" style="40" customWidth="1"/>
    <col min="2" max="2" width="22.8571428571429" style="40" customWidth="1"/>
    <col min="3" max="3" width="17" style="40" customWidth="1"/>
    <col min="4" max="4" width="9.57142857142857" style="40" customWidth="1"/>
    <col min="5" max="5" width="28" style="40" customWidth="1"/>
    <col min="6" max="7" width="31.4285714285714" style="40" customWidth="1"/>
    <col min="8" max="16384" width="12.5714285714286" style="41"/>
  </cols>
  <sheetData>
    <row r="1" ht="24.95" customHeight="1" spans="1:7">
      <c r="A1" s="42" t="s">
        <v>0</v>
      </c>
      <c r="B1" s="43"/>
      <c r="C1" s="43"/>
      <c r="D1" s="43"/>
      <c r="E1" s="43"/>
      <c r="F1" s="43"/>
      <c r="G1" s="44"/>
    </row>
    <row r="2" ht="24.95" customHeight="1" spans="1:7">
      <c r="A2" s="42" t="s">
        <v>1</v>
      </c>
      <c r="B2" s="43"/>
      <c r="C2" s="43"/>
      <c r="D2" s="43"/>
      <c r="E2" s="43"/>
      <c r="F2" s="43"/>
      <c r="G2" s="44"/>
    </row>
    <row r="3" ht="24.95" customHeight="1" spans="1:7">
      <c r="A3" s="45" t="s">
        <v>2</v>
      </c>
      <c r="B3" s="46"/>
      <c r="C3" s="46"/>
      <c r="D3" s="47" t="str">
        <f>FECHAS!D8</f>
        <v>LUNES 16 DE FEBRERO DEL 2026</v>
      </c>
      <c r="E3" s="47"/>
      <c r="F3" s="48" t="str">
        <f>FECHAS!G8</f>
        <v>SEM 7 LIC </v>
      </c>
      <c r="G3" s="48" t="str">
        <f>FECHAS!H8</f>
        <v>SEM 1 SEM</v>
      </c>
    </row>
    <row r="4" ht="24.95" customHeight="1" spans="1:7">
      <c r="A4" s="49" t="str">
        <f>'concentrado diur.'!A4</f>
        <v>Aula</v>
      </c>
      <c r="B4" s="49" t="str">
        <f>'concentrado diur.'!B4</f>
        <v>Gpo.</v>
      </c>
      <c r="C4" s="49" t="str">
        <f>'concentrado diur.'!C4</f>
        <v>Licenciatura</v>
      </c>
      <c r="D4" s="49" t="str">
        <f>'concentrado diur.'!D4</f>
        <v>Opt</v>
      </c>
      <c r="E4" s="50">
        <v>0.5</v>
      </c>
      <c r="F4" s="50">
        <v>0.541666666666667</v>
      </c>
      <c r="G4" s="50">
        <v>0.583333333333333</v>
      </c>
    </row>
    <row r="5" ht="39.95" customHeight="1" spans="1:7">
      <c r="A5" s="88" t="s">
        <v>3</v>
      </c>
      <c r="B5" s="49" t="s">
        <v>4</v>
      </c>
      <c r="C5" s="49" t="s">
        <v>5</v>
      </c>
      <c r="D5" s="49"/>
      <c r="E5" s="51" t="s">
        <v>6</v>
      </c>
      <c r="F5" s="51" t="s">
        <v>6</v>
      </c>
      <c r="G5" s="51">
        <f>'concentrado diur.'!G2</f>
        <v>0</v>
      </c>
    </row>
    <row r="6" ht="39.95" customHeight="1" spans="1:7">
      <c r="A6" s="88" t="s">
        <v>7</v>
      </c>
      <c r="B6" s="49" t="s">
        <v>8</v>
      </c>
      <c r="C6" s="49" t="s">
        <v>9</v>
      </c>
      <c r="D6" s="49">
        <f>'concentrado diur.'!D5</f>
        <v>0</v>
      </c>
      <c r="E6" s="49">
        <v>1246</v>
      </c>
      <c r="F6" s="49">
        <v>2372</v>
      </c>
      <c r="G6" s="49">
        <v>2372</v>
      </c>
    </row>
    <row r="7" ht="39.95" customHeight="1" spans="1:7">
      <c r="A7" s="88" t="s">
        <v>10</v>
      </c>
      <c r="B7" s="49">
        <v>202</v>
      </c>
      <c r="C7" s="49" t="s">
        <v>5</v>
      </c>
      <c r="D7" s="49"/>
      <c r="E7" s="51" t="s">
        <v>11</v>
      </c>
      <c r="F7" s="51" t="s">
        <v>11</v>
      </c>
      <c r="G7" s="51"/>
    </row>
    <row r="8" ht="39.95" customHeight="1" spans="1:7">
      <c r="A8" s="88" t="str">
        <f>'concentrado diur.'!A6</f>
        <v>004</v>
      </c>
      <c r="B8" s="49" t="s">
        <v>12</v>
      </c>
      <c r="C8" s="49" t="str">
        <f>'concentrado diur.'!C6</f>
        <v>NEGOCIOS</v>
      </c>
      <c r="D8" s="49"/>
      <c r="E8" s="51">
        <v>2166</v>
      </c>
      <c r="F8" s="51">
        <f>'concentrado diur.'!F6</f>
        <v>0</v>
      </c>
      <c r="G8" s="51">
        <f>'concentrado diur.'!G6</f>
        <v>0</v>
      </c>
    </row>
    <row r="9" ht="39.95" customHeight="1" spans="1:7">
      <c r="A9" s="88" t="s">
        <v>13</v>
      </c>
      <c r="B9" s="49" t="s">
        <v>14</v>
      </c>
      <c r="C9" s="49" t="s">
        <v>9</v>
      </c>
      <c r="D9" s="49"/>
      <c r="E9" s="51">
        <v>2372</v>
      </c>
      <c r="F9" s="51">
        <f>'concentrado diur.'!F7</f>
        <v>0</v>
      </c>
      <c r="G9" s="51">
        <f>'concentrado diur.'!G7</f>
        <v>0</v>
      </c>
    </row>
    <row r="10" ht="39.95" customHeight="1" spans="1:7">
      <c r="A10" s="49">
        <v>102</v>
      </c>
      <c r="B10" s="49"/>
      <c r="C10" s="49" t="s">
        <v>15</v>
      </c>
      <c r="D10" s="49"/>
      <c r="E10" s="51"/>
      <c r="F10" s="51">
        <f>'concentrado diur.'!F8</f>
        <v>0</v>
      </c>
      <c r="G10" s="51">
        <f>'concentrado diur.'!G8</f>
        <v>0</v>
      </c>
    </row>
    <row r="11" ht="39.95" customHeight="1" spans="1:7">
      <c r="A11" s="49">
        <f>'concentrado diur.'!A9</f>
        <v>104</v>
      </c>
      <c r="B11" s="49">
        <v>403</v>
      </c>
      <c r="C11" s="49" t="str">
        <f>'concentrado diur.'!C9</f>
        <v>SEMESTRAL</v>
      </c>
      <c r="D11" s="49"/>
      <c r="E11" s="51" t="s">
        <v>16</v>
      </c>
      <c r="F11" s="51" t="s">
        <v>17</v>
      </c>
      <c r="G11" s="51">
        <f>'concentrado diur.'!G9</f>
        <v>0</v>
      </c>
    </row>
    <row r="12" ht="39.95" customHeight="1" spans="1:7">
      <c r="A12" s="49">
        <v>204</v>
      </c>
      <c r="B12" s="49" t="s">
        <v>18</v>
      </c>
      <c r="C12" s="49" t="s">
        <v>19</v>
      </c>
      <c r="D12" s="49"/>
      <c r="E12" s="51">
        <v>2401</v>
      </c>
      <c r="F12" s="51"/>
      <c r="G12" s="51"/>
    </row>
    <row r="13" ht="39.95" customHeight="1" spans="1:7">
      <c r="A13" s="49">
        <v>206</v>
      </c>
      <c r="B13" s="49" t="s">
        <v>20</v>
      </c>
      <c r="C13" s="49" t="s">
        <v>19</v>
      </c>
      <c r="D13" s="49"/>
      <c r="E13" s="51"/>
      <c r="F13" s="51"/>
      <c r="G13" s="51"/>
    </row>
    <row r="14" ht="39.95" customHeight="1" spans="1:7">
      <c r="A14" s="49">
        <v>210</v>
      </c>
      <c r="B14" s="49" t="s">
        <v>12</v>
      </c>
      <c r="C14" s="49" t="s">
        <v>19</v>
      </c>
      <c r="D14" s="49"/>
      <c r="E14" s="51">
        <v>2306</v>
      </c>
      <c r="F14" s="51"/>
      <c r="G14" s="51"/>
    </row>
    <row r="15" ht="39.95" customHeight="1" spans="1:7">
      <c r="A15" s="49">
        <v>301</v>
      </c>
      <c r="B15" s="49" t="s">
        <v>21</v>
      </c>
      <c r="C15" s="49" t="s">
        <v>5</v>
      </c>
      <c r="D15" s="49"/>
      <c r="E15" s="51" t="s">
        <v>22</v>
      </c>
      <c r="F15" s="51" t="s">
        <v>23</v>
      </c>
      <c r="G15" s="51"/>
    </row>
    <row r="16" ht="39.95" customHeight="1" spans="1:7">
      <c r="A16" s="49">
        <f>'concentrado diur.'!A12</f>
        <v>302</v>
      </c>
      <c r="B16" s="49" t="s">
        <v>24</v>
      </c>
      <c r="C16" s="49" t="str">
        <f>'concentrado diur.'!C12</f>
        <v>SEMESTRAL</v>
      </c>
      <c r="D16" s="49"/>
      <c r="E16" s="51" t="s">
        <v>23</v>
      </c>
      <c r="F16" s="51" t="s">
        <v>25</v>
      </c>
      <c r="G16" s="51"/>
    </row>
    <row r="17" ht="39.95" customHeight="1" spans="1:7">
      <c r="A17" s="49">
        <f>'concentrado diur.'!A13</f>
        <v>303</v>
      </c>
      <c r="B17" s="49">
        <v>402</v>
      </c>
      <c r="C17" s="49" t="str">
        <f>'concentrado diur.'!C13</f>
        <v>SEMESTRAL</v>
      </c>
      <c r="D17" s="49"/>
      <c r="E17" s="51" t="s">
        <v>26</v>
      </c>
      <c r="F17" s="51" t="s">
        <v>26</v>
      </c>
      <c r="G17" s="51"/>
    </row>
    <row r="18" ht="39.95" customHeight="1" spans="1:7">
      <c r="A18" s="49">
        <f>'concentrado diur.'!A14</f>
        <v>304</v>
      </c>
      <c r="B18" s="49">
        <v>201</v>
      </c>
      <c r="C18" s="49" t="str">
        <f>'concentrado diur.'!C14</f>
        <v>SEMESTRAL</v>
      </c>
      <c r="D18" s="49"/>
      <c r="E18" s="51" t="s">
        <v>27</v>
      </c>
      <c r="F18" s="51" t="s">
        <v>27</v>
      </c>
      <c r="G18" s="51"/>
    </row>
    <row r="19" ht="39.95" customHeight="1" spans="1:9">
      <c r="A19" s="49">
        <f>'concentrado diur.'!A16</f>
        <v>306</v>
      </c>
      <c r="B19" s="49">
        <f>'concentrado diur.'!B16</f>
        <v>0</v>
      </c>
      <c r="C19" s="49">
        <f>'concentrado diur.'!C16</f>
        <v>0</v>
      </c>
      <c r="D19" s="49"/>
      <c r="E19" s="51"/>
      <c r="F19" s="51"/>
      <c r="G19" s="51"/>
      <c r="H19" s="52"/>
      <c r="I19" s="52"/>
    </row>
    <row r="20" ht="39.95" customHeight="1" spans="1:7">
      <c r="A20" s="49">
        <f>'concentrado diur.'!A18</f>
        <v>311</v>
      </c>
      <c r="B20" s="49">
        <v>401</v>
      </c>
      <c r="C20" s="49" t="str">
        <f>'concentrado diur.'!C18</f>
        <v>SEMESTRAL</v>
      </c>
      <c r="D20" s="49"/>
      <c r="E20" s="51" t="s">
        <v>28</v>
      </c>
      <c r="F20" s="51" t="s">
        <v>28</v>
      </c>
      <c r="G20" s="51"/>
    </row>
    <row r="21" ht="39.95" customHeight="1" spans="1:7">
      <c r="A21" s="49">
        <v>313</v>
      </c>
      <c r="B21" s="49" t="s">
        <v>18</v>
      </c>
      <c r="C21" s="49" t="s">
        <v>29</v>
      </c>
      <c r="D21" s="49"/>
      <c r="E21" s="51" t="s">
        <v>30</v>
      </c>
      <c r="F21" s="51"/>
      <c r="G21" s="51"/>
    </row>
    <row r="22" ht="39.95" customHeight="1" spans="1:7">
      <c r="A22" s="49">
        <f>'concentrado diur.'!A20</f>
        <v>0</v>
      </c>
      <c r="B22" s="49">
        <f>'concentrado diur.'!B20</f>
        <v>0</v>
      </c>
      <c r="C22" s="49">
        <f>'concentrado diur.'!C20</f>
        <v>0</v>
      </c>
      <c r="D22" s="49">
        <f>'concentrado diur.'!D20</f>
        <v>0</v>
      </c>
      <c r="E22" s="51">
        <f>'concentrado diur.'!E20</f>
        <v>0</v>
      </c>
      <c r="F22" s="51">
        <f>'concentrado diur.'!F20</f>
        <v>0</v>
      </c>
      <c r="G22" s="51">
        <f>'concentrado diur.'!G20</f>
        <v>0</v>
      </c>
    </row>
    <row r="23" ht="39.95" customHeight="1" spans="1:7">
      <c r="A23" s="53"/>
      <c r="B23" s="53"/>
      <c r="C23" s="53"/>
      <c r="D23" s="53"/>
      <c r="E23" s="54"/>
      <c r="F23" s="54"/>
      <c r="G23" s="54"/>
    </row>
    <row r="24" ht="39.95" customHeight="1" spans="1:7">
      <c r="A24" s="53"/>
      <c r="B24" s="53"/>
      <c r="C24" s="53"/>
      <c r="D24" s="53"/>
      <c r="E24" s="54"/>
      <c r="F24" s="54"/>
      <c r="G24" s="54"/>
    </row>
    <row r="25" ht="39.95" customHeight="1" spans="1:7">
      <c r="A25" s="42" t="str">
        <f>A1</f>
        <v>REGISTRO DIARIO DE INCIDENCIAS</v>
      </c>
      <c r="B25" s="43"/>
      <c r="C25" s="43"/>
      <c r="D25" s="43"/>
      <c r="E25" s="43"/>
      <c r="F25" s="43"/>
      <c r="G25" s="44"/>
    </row>
    <row r="26" ht="39.95" customHeight="1" spans="1:7">
      <c r="A26" s="55" t="str">
        <f>A2</f>
        <v>PERIODO ENERO- ABRIL  2026</v>
      </c>
      <c r="B26" s="56"/>
      <c r="C26" s="56"/>
      <c r="D26" s="56"/>
      <c r="E26" s="56"/>
      <c r="F26" s="56"/>
      <c r="G26" s="57"/>
    </row>
    <row r="27" ht="39.95" customHeight="1" spans="1:7">
      <c r="A27" s="45" t="s">
        <v>2</v>
      </c>
      <c r="B27" s="46"/>
      <c r="C27" s="46"/>
      <c r="D27" s="58" t="str">
        <f>FECHAS!D9</f>
        <v>MARTES 17 DE FEBRERO DEL 2026</v>
      </c>
      <c r="E27" s="58"/>
      <c r="F27" s="48" t="str">
        <f>F3</f>
        <v>SEM 7 LIC </v>
      </c>
      <c r="G27" s="48" t="str">
        <f>G3</f>
        <v>SEM 1 SEM</v>
      </c>
    </row>
    <row r="28" ht="39.95" customHeight="1" spans="1:7">
      <c r="A28" s="59" t="str">
        <f t="shared" ref="A28:F28" si="0">A4</f>
        <v>Aula</v>
      </c>
      <c r="B28" s="59" t="str">
        <f t="shared" si="0"/>
        <v>Gpo.</v>
      </c>
      <c r="C28" s="59" t="str">
        <f t="shared" si="0"/>
        <v>Licenciatura</v>
      </c>
      <c r="D28" s="59" t="str">
        <f t="shared" si="0"/>
        <v>Opt</v>
      </c>
      <c r="E28" s="60">
        <v>0.5</v>
      </c>
      <c r="F28" s="60">
        <v>0.541666666666667</v>
      </c>
      <c r="G28" s="60">
        <v>0.583333333333333</v>
      </c>
    </row>
    <row r="29" ht="39.95" customHeight="1" spans="1:7">
      <c r="A29" s="89" t="s">
        <v>3</v>
      </c>
      <c r="B29" s="59" t="s">
        <v>4</v>
      </c>
      <c r="C29" s="59" t="s">
        <v>5</v>
      </c>
      <c r="D29" s="59"/>
      <c r="E29" s="60" t="s">
        <v>11</v>
      </c>
      <c r="F29" s="60" t="s">
        <v>11</v>
      </c>
      <c r="G29" s="60"/>
    </row>
    <row r="30" ht="39.95" customHeight="1" spans="1:7">
      <c r="A30" s="89" t="str">
        <f>A6</f>
        <v>002</v>
      </c>
      <c r="B30" s="59" t="str">
        <f t="shared" ref="B30:G30" si="1">B6</f>
        <v>211-9</v>
      </c>
      <c r="C30" s="59" t="str">
        <f t="shared" si="1"/>
        <v>PSICOLOGIA</v>
      </c>
      <c r="D30" s="59">
        <f t="shared" si="1"/>
        <v>0</v>
      </c>
      <c r="E30" s="59">
        <v>2023</v>
      </c>
      <c r="F30" s="59">
        <v>2409</v>
      </c>
      <c r="G30" s="59">
        <v>2409</v>
      </c>
    </row>
    <row r="31" ht="39.95" customHeight="1" spans="1:7">
      <c r="A31" s="89" t="s">
        <v>10</v>
      </c>
      <c r="B31" s="59">
        <v>202</v>
      </c>
      <c r="C31" s="59" t="s">
        <v>5</v>
      </c>
      <c r="D31" s="59">
        <f>D2</f>
        <v>0</v>
      </c>
      <c r="E31" s="61" t="s">
        <v>27</v>
      </c>
      <c r="F31" s="61" t="s">
        <v>27</v>
      </c>
      <c r="G31" s="61">
        <f>'concentrado diur.'!J3</f>
        <v>0</v>
      </c>
    </row>
    <row r="32" ht="39.95" customHeight="1" spans="1:7">
      <c r="A32" s="89" t="str">
        <f>A8</f>
        <v>004</v>
      </c>
      <c r="B32" s="59" t="str">
        <f>B8</f>
        <v>401-8</v>
      </c>
      <c r="C32" s="59" t="str">
        <f t="shared" ref="C32:C38" si="2">C8</f>
        <v>NEGOCIOS</v>
      </c>
      <c r="D32" s="59">
        <f>D8</f>
        <v>0</v>
      </c>
      <c r="E32" s="61">
        <v>2166</v>
      </c>
      <c r="F32" s="61">
        <f>'concentrado diur.'!I6</f>
        <v>0</v>
      </c>
      <c r="G32" s="61">
        <f>'concentrado diur.'!J6</f>
        <v>0</v>
      </c>
    </row>
    <row r="33" ht="39.95" customHeight="1" spans="1:7">
      <c r="A33" s="89" t="str">
        <f>A9</f>
        <v>008</v>
      </c>
      <c r="B33" s="59" t="str">
        <f>B9</f>
        <v>511-9</v>
      </c>
      <c r="C33" s="59" t="str">
        <f t="shared" si="2"/>
        <v>PSICOLOGIA</v>
      </c>
      <c r="D33" s="59">
        <f>D9</f>
        <v>0</v>
      </c>
      <c r="E33" s="61">
        <v>2473</v>
      </c>
      <c r="F33" s="61">
        <f>'concentrado diur.'!I7</f>
        <v>0</v>
      </c>
      <c r="G33" s="61">
        <f>'concentrado diur.'!J7</f>
        <v>0</v>
      </c>
    </row>
    <row r="34" ht="39.95" customHeight="1" spans="1:7">
      <c r="A34" s="59">
        <f>A10</f>
        <v>102</v>
      </c>
      <c r="B34" s="59">
        <f>B10</f>
        <v>0</v>
      </c>
      <c r="C34" s="59" t="str">
        <f t="shared" si="2"/>
        <v>INGLES</v>
      </c>
      <c r="D34" s="59">
        <f>D10</f>
        <v>0</v>
      </c>
      <c r="E34" s="61">
        <v>1433</v>
      </c>
      <c r="F34" s="61">
        <f>'concentrado diur.'!I8</f>
        <v>0</v>
      </c>
      <c r="G34" s="61">
        <f>'concentrado diur.'!J8</f>
        <v>0</v>
      </c>
    </row>
    <row r="35" ht="39.95" customHeight="1" spans="1:7">
      <c r="A35" s="59">
        <f>A11</f>
        <v>104</v>
      </c>
      <c r="B35" s="59">
        <f>B11</f>
        <v>403</v>
      </c>
      <c r="C35" s="59" t="str">
        <f t="shared" si="2"/>
        <v>SEMESTRAL</v>
      </c>
      <c r="D35" s="59">
        <f>D11</f>
        <v>0</v>
      </c>
      <c r="E35" s="61" t="s">
        <v>31</v>
      </c>
      <c r="F35" s="61" t="s">
        <v>32</v>
      </c>
      <c r="G35" s="61">
        <f>'concentrado diur.'!J9</f>
        <v>0</v>
      </c>
    </row>
    <row r="36" ht="39.95" customHeight="1" spans="1:7">
      <c r="A36" s="59">
        <v>204</v>
      </c>
      <c r="B36" s="59" t="s">
        <v>18</v>
      </c>
      <c r="C36" s="59" t="str">
        <f>C13</f>
        <v>CIVIL</v>
      </c>
      <c r="D36" s="59"/>
      <c r="E36" s="61"/>
      <c r="F36" s="61"/>
      <c r="G36" s="61"/>
    </row>
    <row r="37" ht="39.95" customHeight="1" spans="1:7">
      <c r="A37" s="59">
        <v>206</v>
      </c>
      <c r="B37" s="59" t="s">
        <v>20</v>
      </c>
      <c r="C37" s="59" t="str">
        <f t="shared" si="2"/>
        <v>CIVIL</v>
      </c>
      <c r="D37" s="59"/>
      <c r="E37" s="61"/>
      <c r="F37" s="61"/>
      <c r="G37" s="61"/>
    </row>
    <row r="38" ht="39.95" customHeight="1" spans="1:7">
      <c r="A38" s="59">
        <v>210</v>
      </c>
      <c r="B38" s="59" t="s">
        <v>12</v>
      </c>
      <c r="C38" s="59" t="str">
        <f t="shared" si="2"/>
        <v>CIVIL</v>
      </c>
      <c r="D38" s="59"/>
      <c r="E38" s="61">
        <v>2231</v>
      </c>
      <c r="F38" s="61"/>
      <c r="G38" s="61"/>
    </row>
    <row r="39" ht="39.95" customHeight="1" spans="1:7">
      <c r="A39" s="59">
        <v>301</v>
      </c>
      <c r="B39" s="59" t="s">
        <v>21</v>
      </c>
      <c r="C39" s="59" t="s">
        <v>5</v>
      </c>
      <c r="D39" s="59"/>
      <c r="E39" s="61" t="s">
        <v>33</v>
      </c>
      <c r="F39" s="61" t="s">
        <v>25</v>
      </c>
      <c r="G39" s="61"/>
    </row>
    <row r="40" ht="39.95" customHeight="1" spans="1:7">
      <c r="A40" s="59">
        <f t="shared" ref="A40:A46" si="3">A16</f>
        <v>302</v>
      </c>
      <c r="B40" s="59" t="str">
        <f t="shared" ref="B40:B46" si="4">B16</f>
        <v>602 FMQB</v>
      </c>
      <c r="C40" s="59" t="str">
        <f t="shared" ref="C40:C46" si="5">C16</f>
        <v>SEMESTRAL</v>
      </c>
      <c r="D40" s="59"/>
      <c r="E40" s="61" t="s">
        <v>26</v>
      </c>
      <c r="F40" s="61" t="s">
        <v>23</v>
      </c>
      <c r="G40" s="61">
        <f>'concentrado diur.'!J12</f>
        <v>0</v>
      </c>
    </row>
    <row r="41" ht="39.95" customHeight="1" spans="1:7">
      <c r="A41" s="59">
        <f t="shared" si="3"/>
        <v>303</v>
      </c>
      <c r="B41" s="59">
        <f t="shared" si="4"/>
        <v>402</v>
      </c>
      <c r="C41" s="59" t="str">
        <f t="shared" si="5"/>
        <v>SEMESTRAL</v>
      </c>
      <c r="D41" s="59"/>
      <c r="E41" s="61" t="s">
        <v>32</v>
      </c>
      <c r="F41" s="61" t="s">
        <v>33</v>
      </c>
      <c r="G41" s="61">
        <f>'concentrado diur.'!J13</f>
        <v>0</v>
      </c>
    </row>
    <row r="42" ht="39.95" customHeight="1" spans="1:7">
      <c r="A42" s="59">
        <f t="shared" si="3"/>
        <v>304</v>
      </c>
      <c r="B42" s="59">
        <f t="shared" si="4"/>
        <v>201</v>
      </c>
      <c r="C42" s="59" t="str">
        <f t="shared" si="5"/>
        <v>SEMESTRAL</v>
      </c>
      <c r="D42" s="59">
        <f>D13</f>
        <v>0</v>
      </c>
      <c r="E42" s="61" t="s">
        <v>28</v>
      </c>
      <c r="F42" s="61" t="s">
        <v>28</v>
      </c>
      <c r="G42" s="61">
        <f>'concentrado diur.'!J14</f>
        <v>0</v>
      </c>
    </row>
    <row r="43" ht="39.95" customHeight="1" spans="1:7">
      <c r="A43" s="59">
        <f t="shared" si="3"/>
        <v>306</v>
      </c>
      <c r="B43" s="59">
        <f t="shared" si="4"/>
        <v>0</v>
      </c>
      <c r="C43" s="59">
        <f t="shared" si="5"/>
        <v>0</v>
      </c>
      <c r="D43" s="59">
        <f>D16</f>
        <v>0</v>
      </c>
      <c r="E43" s="61"/>
      <c r="F43" s="61"/>
      <c r="G43" s="61">
        <f>'concentrado diur.'!J16</f>
        <v>0</v>
      </c>
    </row>
    <row r="44" ht="39.95" customHeight="1" spans="1:7">
      <c r="A44" s="59">
        <f t="shared" si="3"/>
        <v>311</v>
      </c>
      <c r="B44" s="59">
        <f t="shared" si="4"/>
        <v>401</v>
      </c>
      <c r="C44" s="59" t="str">
        <f t="shared" si="5"/>
        <v>SEMESTRAL</v>
      </c>
      <c r="D44" s="59">
        <f>D18</f>
        <v>0</v>
      </c>
      <c r="E44" s="61" t="s">
        <v>16</v>
      </c>
      <c r="F44" s="61" t="s">
        <v>16</v>
      </c>
      <c r="G44" s="61">
        <f>'concentrado diur.'!J18</f>
        <v>0</v>
      </c>
    </row>
    <row r="45" ht="39.95" customHeight="1" spans="1:7">
      <c r="A45" s="59">
        <f t="shared" si="3"/>
        <v>313</v>
      </c>
      <c r="B45" s="59" t="str">
        <f t="shared" si="4"/>
        <v>101-8</v>
      </c>
      <c r="C45" s="59" t="str">
        <f t="shared" si="5"/>
        <v>FINANZAS</v>
      </c>
      <c r="D45" s="59" t="e">
        <f>#REF!</f>
        <v>#REF!</v>
      </c>
      <c r="E45" s="61" t="s">
        <v>34</v>
      </c>
      <c r="F45" s="61"/>
      <c r="G45" s="61"/>
    </row>
    <row r="46" ht="39.95" customHeight="1" spans="1:7">
      <c r="A46" s="59">
        <f t="shared" si="3"/>
        <v>0</v>
      </c>
      <c r="B46" s="59">
        <f t="shared" si="4"/>
        <v>0</v>
      </c>
      <c r="C46" s="59">
        <f t="shared" si="5"/>
        <v>0</v>
      </c>
      <c r="D46" s="59">
        <f>D19</f>
        <v>0</v>
      </c>
      <c r="E46" s="61">
        <f>'concentrado diur.'!H20</f>
        <v>0</v>
      </c>
      <c r="F46" s="61">
        <f>'concentrado diur.'!I20</f>
        <v>0</v>
      </c>
      <c r="G46" s="61">
        <f>'concentrado diur.'!J20</f>
        <v>0</v>
      </c>
    </row>
    <row r="47" ht="39.95" customHeight="1" spans="1:7">
      <c r="A47" s="62"/>
      <c r="B47" s="63"/>
      <c r="C47" s="63"/>
      <c r="D47" s="63"/>
      <c r="E47" s="63"/>
      <c r="F47" s="63"/>
      <c r="G47" s="63"/>
    </row>
    <row r="48" ht="39.95" customHeight="1" spans="1:7">
      <c r="A48" s="42" t="s">
        <v>0</v>
      </c>
      <c r="B48" s="43"/>
      <c r="C48" s="43"/>
      <c r="D48" s="43"/>
      <c r="E48" s="43"/>
      <c r="F48" s="43"/>
      <c r="G48" s="44"/>
    </row>
    <row r="49" ht="39.95" customHeight="1" spans="1:7">
      <c r="A49" s="42" t="str">
        <f>A26</f>
        <v>PERIODO ENERO- ABRIL  2026</v>
      </c>
      <c r="B49" s="43"/>
      <c r="C49" s="43"/>
      <c r="D49" s="43"/>
      <c r="E49" s="43"/>
      <c r="F49" s="43"/>
      <c r="G49" s="44"/>
    </row>
    <row r="50" ht="39.95" customHeight="1" spans="1:7">
      <c r="A50" s="45" t="s">
        <v>2</v>
      </c>
      <c r="B50" s="46"/>
      <c r="C50" s="46"/>
      <c r="D50" s="58" t="str">
        <f>FECHAS!D10</f>
        <v>MIERCOLES 18 DE FEBRERO DEL 2026</v>
      </c>
      <c r="E50" s="58"/>
      <c r="F50" s="48" t="str">
        <f>F27</f>
        <v>SEM 7 LIC </v>
      </c>
      <c r="G50" s="48" t="str">
        <f>G27</f>
        <v>SEM 1 SEM</v>
      </c>
    </row>
    <row r="51" ht="39.95" customHeight="1" spans="1:7">
      <c r="A51" s="59" t="str">
        <f>'concentrado diur.'!A4</f>
        <v>Aula</v>
      </c>
      <c r="B51" s="59" t="str">
        <f>'concentrado diur.'!B4</f>
        <v>Gpo.</v>
      </c>
      <c r="C51" s="59" t="str">
        <f>'concentrado diur.'!C4</f>
        <v>Licenciatura</v>
      </c>
      <c r="D51" s="59" t="str">
        <f>'concentrado diur.'!D4</f>
        <v>Opt</v>
      </c>
      <c r="E51" s="60">
        <v>0.5</v>
      </c>
      <c r="F51" s="60">
        <v>0.541666666666667</v>
      </c>
      <c r="G51" s="60">
        <v>0.583333333333333</v>
      </c>
    </row>
    <row r="52" ht="39.95" customHeight="1" spans="1:7">
      <c r="A52" s="89" t="s">
        <v>3</v>
      </c>
      <c r="B52" s="59" t="s">
        <v>4</v>
      </c>
      <c r="C52" s="59" t="s">
        <v>5</v>
      </c>
      <c r="D52" s="59"/>
      <c r="E52" s="60" t="s">
        <v>23</v>
      </c>
      <c r="F52" s="60" t="s">
        <v>23</v>
      </c>
      <c r="G52" s="60"/>
    </row>
    <row r="53" ht="39.95" customHeight="1" spans="1:7">
      <c r="A53" s="89" t="str">
        <f>A30</f>
        <v>002</v>
      </c>
      <c r="B53" s="59" t="str">
        <f>B30</f>
        <v>211-9</v>
      </c>
      <c r="C53" s="59" t="str">
        <f>C30</f>
        <v>PSICOLOGIA</v>
      </c>
      <c r="D53" s="59">
        <f>D30</f>
        <v>0</v>
      </c>
      <c r="E53" s="64">
        <v>2023</v>
      </c>
      <c r="F53" s="64">
        <v>2473</v>
      </c>
      <c r="G53" s="64">
        <v>2473</v>
      </c>
    </row>
    <row r="54" ht="39.95" customHeight="1" spans="1:7">
      <c r="A54" s="89" t="s">
        <v>10</v>
      </c>
      <c r="B54" s="59">
        <v>202</v>
      </c>
      <c r="C54" s="59" t="s">
        <v>5</v>
      </c>
      <c r="D54" s="59"/>
      <c r="E54" s="65" t="s">
        <v>28</v>
      </c>
      <c r="F54" s="65" t="s">
        <v>28</v>
      </c>
      <c r="G54" s="65">
        <f>'concentrado diur.'!M3</f>
        <v>0</v>
      </c>
    </row>
    <row r="55" ht="39.95" customHeight="1" spans="1:7">
      <c r="A55" s="89" t="str">
        <f>A32</f>
        <v>004</v>
      </c>
      <c r="B55" s="59" t="str">
        <f>B32</f>
        <v>401-8</v>
      </c>
      <c r="C55" s="59" t="str">
        <f>C32</f>
        <v>NEGOCIOS</v>
      </c>
      <c r="D55" s="59">
        <f>D32</f>
        <v>0</v>
      </c>
      <c r="E55" s="65"/>
      <c r="F55" s="65"/>
      <c r="G55" s="65">
        <f>'concentrado diur.'!M6</f>
        <v>0</v>
      </c>
    </row>
    <row r="56" ht="39.95" customHeight="1" spans="1:7">
      <c r="A56" s="89" t="str">
        <f>A33</f>
        <v>008</v>
      </c>
      <c r="B56" s="59" t="str">
        <f>B33</f>
        <v>511-9</v>
      </c>
      <c r="C56" s="59" t="str">
        <f>C33</f>
        <v>PSICOLOGIA</v>
      </c>
      <c r="D56" s="59">
        <f>D33</f>
        <v>0</v>
      </c>
      <c r="E56" s="65">
        <v>2473</v>
      </c>
      <c r="F56" s="65">
        <v>2372</v>
      </c>
      <c r="G56" s="65">
        <f>'concentrado diur.'!M7</f>
        <v>0</v>
      </c>
    </row>
    <row r="57" ht="39.95" customHeight="1" spans="1:7">
      <c r="A57" s="59">
        <f>A34</f>
        <v>102</v>
      </c>
      <c r="B57" s="59">
        <f>B34</f>
        <v>0</v>
      </c>
      <c r="C57" s="59" t="str">
        <f>C34</f>
        <v>INGLES</v>
      </c>
      <c r="D57" s="59">
        <f>D34</f>
        <v>0</v>
      </c>
      <c r="E57" s="65">
        <v>1433</v>
      </c>
      <c r="F57" s="65">
        <f>'concentrado diur.'!L8</f>
        <v>0</v>
      </c>
      <c r="G57" s="65">
        <f>'concentrado diur.'!M8</f>
        <v>0</v>
      </c>
    </row>
    <row r="58" ht="39.95" customHeight="1" spans="1:7">
      <c r="A58" s="59">
        <f>A35</f>
        <v>104</v>
      </c>
      <c r="B58" s="59">
        <f>B35</f>
        <v>403</v>
      </c>
      <c r="C58" s="59" t="str">
        <f>C35</f>
        <v>SEMESTRAL</v>
      </c>
      <c r="D58" s="59">
        <f>D35</f>
        <v>0</v>
      </c>
      <c r="E58" s="65" t="s">
        <v>16</v>
      </c>
      <c r="F58" s="65" t="s">
        <v>35</v>
      </c>
      <c r="G58" s="65">
        <f>'concentrado diur.'!M9</f>
        <v>0</v>
      </c>
    </row>
    <row r="59" ht="39.95" customHeight="1" spans="1:7">
      <c r="A59" s="59">
        <f>A36</f>
        <v>204</v>
      </c>
      <c r="B59" s="59" t="str">
        <f>B36</f>
        <v>101-8</v>
      </c>
      <c r="C59" s="59" t="str">
        <f>C36</f>
        <v>CIVIL</v>
      </c>
      <c r="D59" s="59">
        <f>D36</f>
        <v>0</v>
      </c>
      <c r="E59" s="65" t="s">
        <v>34</v>
      </c>
      <c r="F59" s="65"/>
      <c r="G59" s="65"/>
    </row>
    <row r="60" ht="39.95" customHeight="1" spans="1:7">
      <c r="A60" s="59">
        <v>206</v>
      </c>
      <c r="B60" s="59" t="s">
        <v>20</v>
      </c>
      <c r="C60" s="59" t="s">
        <v>19</v>
      </c>
      <c r="D60" s="59"/>
      <c r="E60" s="65">
        <v>2401</v>
      </c>
      <c r="F60" s="65"/>
      <c r="G60" s="65"/>
    </row>
    <row r="61" ht="39.95" customHeight="1" spans="1:7">
      <c r="A61" s="59">
        <f>A38</f>
        <v>210</v>
      </c>
      <c r="B61" s="59" t="str">
        <f>B38</f>
        <v>401-8</v>
      </c>
      <c r="C61" s="59" t="str">
        <f>C38</f>
        <v>CIVIL</v>
      </c>
      <c r="D61" s="59">
        <f>D38</f>
        <v>0</v>
      </c>
      <c r="E61" s="65">
        <v>2231</v>
      </c>
      <c r="F61" s="65"/>
      <c r="G61" s="65"/>
    </row>
    <row r="62" ht="39.95" customHeight="1" spans="1:7">
      <c r="A62" s="59">
        <v>301</v>
      </c>
      <c r="B62" s="59" t="s">
        <v>21</v>
      </c>
      <c r="C62" s="59" t="s">
        <v>5</v>
      </c>
      <c r="D62" s="59"/>
      <c r="E62" s="65" t="s">
        <v>33</v>
      </c>
      <c r="F62" s="65" t="s">
        <v>25</v>
      </c>
      <c r="G62" s="65"/>
    </row>
    <row r="63" ht="39.95" customHeight="1" spans="1:7">
      <c r="A63" s="59">
        <f t="shared" ref="A63:A69" si="6">A40</f>
        <v>302</v>
      </c>
      <c r="B63" s="59" t="str">
        <f t="shared" ref="B63:B69" si="7">B40</f>
        <v>602 FMQB</v>
      </c>
      <c r="C63" s="59" t="str">
        <f t="shared" ref="C63:C69" si="8">C40</f>
        <v>SEMESTRAL</v>
      </c>
      <c r="D63" s="59">
        <f t="shared" ref="D63:D69" si="9">D40</f>
        <v>0</v>
      </c>
      <c r="E63" s="65" t="s">
        <v>6</v>
      </c>
      <c r="F63" s="65" t="s">
        <v>6</v>
      </c>
      <c r="G63" s="65">
        <f>'concentrado diur.'!M12</f>
        <v>0</v>
      </c>
    </row>
    <row r="64" ht="39.95" customHeight="1" spans="1:7">
      <c r="A64" s="59">
        <f t="shared" si="6"/>
        <v>303</v>
      </c>
      <c r="B64" s="59">
        <f t="shared" si="7"/>
        <v>402</v>
      </c>
      <c r="C64" s="59" t="str">
        <f t="shared" si="8"/>
        <v>SEMESTRAL</v>
      </c>
      <c r="D64" s="59">
        <f t="shared" si="9"/>
        <v>0</v>
      </c>
      <c r="E64" s="65" t="s">
        <v>27</v>
      </c>
      <c r="F64" s="65" t="s">
        <v>27</v>
      </c>
      <c r="G64" s="65">
        <f>'concentrado diur.'!M13</f>
        <v>0</v>
      </c>
    </row>
    <row r="65" ht="39.95" customHeight="1" spans="1:7">
      <c r="A65" s="59">
        <f t="shared" si="6"/>
        <v>304</v>
      </c>
      <c r="B65" s="59">
        <f t="shared" si="7"/>
        <v>201</v>
      </c>
      <c r="C65" s="59" t="str">
        <f t="shared" si="8"/>
        <v>SEMESTRAL</v>
      </c>
      <c r="D65" s="59">
        <f t="shared" si="9"/>
        <v>0</v>
      </c>
      <c r="E65" s="65" t="s">
        <v>11</v>
      </c>
      <c r="F65" s="65" t="s">
        <v>11</v>
      </c>
      <c r="G65" s="65">
        <f>'concentrado diur.'!M14</f>
        <v>0</v>
      </c>
    </row>
    <row r="66" ht="39.95" customHeight="1" spans="1:7">
      <c r="A66" s="59">
        <f t="shared" si="6"/>
        <v>306</v>
      </c>
      <c r="B66" s="59">
        <f t="shared" si="7"/>
        <v>0</v>
      </c>
      <c r="C66" s="59">
        <f t="shared" si="8"/>
        <v>0</v>
      </c>
      <c r="D66" s="59">
        <f t="shared" si="9"/>
        <v>0</v>
      </c>
      <c r="E66" s="65"/>
      <c r="F66" s="65">
        <f>'concentrado diur.'!L16</f>
        <v>0</v>
      </c>
      <c r="G66" s="65">
        <f>'concentrado diur.'!M16</f>
        <v>0</v>
      </c>
    </row>
    <row r="67" ht="39.95" customHeight="1" spans="1:7">
      <c r="A67" s="59">
        <f t="shared" si="6"/>
        <v>311</v>
      </c>
      <c r="B67" s="59">
        <f t="shared" si="7"/>
        <v>401</v>
      </c>
      <c r="C67" s="59" t="str">
        <f t="shared" si="8"/>
        <v>SEMESTRAL</v>
      </c>
      <c r="D67" s="59">
        <f t="shared" si="9"/>
        <v>0</v>
      </c>
      <c r="E67" s="65" t="s">
        <v>35</v>
      </c>
      <c r="F67" s="65" t="s">
        <v>16</v>
      </c>
      <c r="G67" s="65">
        <f>'concentrado diur.'!M18</f>
        <v>0</v>
      </c>
    </row>
    <row r="68" ht="39.95" customHeight="1" spans="1:7">
      <c r="A68" s="59">
        <f t="shared" si="6"/>
        <v>313</v>
      </c>
      <c r="B68" s="59" t="str">
        <f t="shared" si="7"/>
        <v>101-8</v>
      </c>
      <c r="C68" s="59" t="str">
        <f t="shared" si="8"/>
        <v>FINANZAS</v>
      </c>
      <c r="D68" s="59" t="e">
        <f t="shared" si="9"/>
        <v>#REF!</v>
      </c>
      <c r="E68" s="65" t="s">
        <v>34</v>
      </c>
      <c r="F68" s="65"/>
      <c r="G68" s="65">
        <f>'concentrado diur.'!M19</f>
        <v>0</v>
      </c>
    </row>
    <row r="69" ht="39.95" customHeight="1" spans="1:7">
      <c r="A69" s="59">
        <f t="shared" si="6"/>
        <v>0</v>
      </c>
      <c r="B69" s="59">
        <f t="shared" si="7"/>
        <v>0</v>
      </c>
      <c r="C69" s="59">
        <f t="shared" si="8"/>
        <v>0</v>
      </c>
      <c r="D69" s="59">
        <f t="shared" si="9"/>
        <v>0</v>
      </c>
      <c r="E69" s="65">
        <f>'concentrado diur.'!K20</f>
        <v>0</v>
      </c>
      <c r="F69" s="65">
        <f>'concentrado diur.'!L20</f>
        <v>0</v>
      </c>
      <c r="G69" s="65">
        <f>'concentrado diur.'!M20</f>
        <v>0</v>
      </c>
    </row>
    <row r="70" ht="39.95" customHeight="1" spans="1:7">
      <c r="A70" s="59">
        <f>A46</f>
        <v>0</v>
      </c>
      <c r="B70" s="59">
        <f>B46</f>
        <v>0</v>
      </c>
      <c r="C70" s="59">
        <f>C46</f>
        <v>0</v>
      </c>
      <c r="D70" s="59">
        <f>D46</f>
        <v>0</v>
      </c>
      <c r="E70" s="64">
        <f>'concentrado diur.'!K21</f>
        <v>0</v>
      </c>
      <c r="F70" s="64">
        <f>'concentrado diur.'!L21</f>
        <v>0</v>
      </c>
      <c r="G70" s="64">
        <f>'concentrado diur.'!M21</f>
        <v>0</v>
      </c>
    </row>
    <row r="71" ht="39.95" customHeight="1" spans="1:7">
      <c r="A71" s="66"/>
      <c r="B71" s="67"/>
      <c r="C71" s="67"/>
      <c r="D71" s="67"/>
      <c r="E71" s="68"/>
      <c r="F71" s="68"/>
      <c r="G71" s="63"/>
    </row>
    <row r="72" ht="39.95" customHeight="1" spans="1:7">
      <c r="A72" s="69" t="s">
        <v>0</v>
      </c>
      <c r="B72" s="70"/>
      <c r="C72" s="70"/>
      <c r="D72" s="70"/>
      <c r="E72" s="70"/>
      <c r="F72" s="70"/>
      <c r="G72" s="70"/>
    </row>
    <row r="73" ht="39.95" customHeight="1" spans="1:7">
      <c r="A73" s="71" t="str">
        <f>A49</f>
        <v>PERIODO ENERO- ABRIL  2026</v>
      </c>
      <c r="B73" s="72"/>
      <c r="C73" s="72"/>
      <c r="D73" s="72"/>
      <c r="E73" s="72"/>
      <c r="F73" s="72"/>
      <c r="G73" s="72"/>
    </row>
    <row r="74" ht="39.95" customHeight="1" spans="1:7">
      <c r="A74" s="73" t="s">
        <v>2</v>
      </c>
      <c r="B74" s="74"/>
      <c r="C74" s="74"/>
      <c r="D74" s="75" t="str">
        <f>FECHAS!D11</f>
        <v>JUEVES 19 DE FEBRERO DEL 2026</v>
      </c>
      <c r="E74" s="75"/>
      <c r="F74" s="76" t="str">
        <f>F50</f>
        <v>SEM 7 LIC </v>
      </c>
      <c r="G74" s="76" t="str">
        <f>G50</f>
        <v>SEM 1 SEM</v>
      </c>
    </row>
    <row r="75" ht="39.95" customHeight="1" spans="1:7">
      <c r="A75" s="77" t="str">
        <f t="shared" ref="A75:G75" si="10">A51</f>
        <v>Aula</v>
      </c>
      <c r="B75" s="77" t="str">
        <f t="shared" si="10"/>
        <v>Gpo.</v>
      </c>
      <c r="C75" s="77" t="str">
        <f t="shared" si="10"/>
        <v>Licenciatura</v>
      </c>
      <c r="D75" s="77" t="str">
        <f t="shared" si="10"/>
        <v>Opt</v>
      </c>
      <c r="E75" s="78">
        <v>0.5</v>
      </c>
      <c r="F75" s="78">
        <v>0.541666666666667</v>
      </c>
      <c r="G75" s="78">
        <v>0.583333333333333</v>
      </c>
    </row>
    <row r="76" ht="39.95" customHeight="1" spans="1:7">
      <c r="A76" s="90" t="s">
        <v>3</v>
      </c>
      <c r="B76" s="77" t="s">
        <v>4</v>
      </c>
      <c r="C76" s="77" t="s">
        <v>5</v>
      </c>
      <c r="D76" s="77"/>
      <c r="E76" s="79" t="s">
        <v>36</v>
      </c>
      <c r="F76" s="79" t="s">
        <v>37</v>
      </c>
      <c r="G76" s="79"/>
    </row>
    <row r="77" ht="39.95" customHeight="1" spans="1:7">
      <c r="A77" s="90" t="str">
        <f>A53</f>
        <v>002</v>
      </c>
      <c r="B77" s="77" t="str">
        <f>B53</f>
        <v>211-9</v>
      </c>
      <c r="C77" s="77" t="str">
        <f>C53</f>
        <v>PSICOLOGIA</v>
      </c>
      <c r="D77" s="77">
        <f>D53</f>
        <v>0</v>
      </c>
      <c r="E77" s="61">
        <v>2353</v>
      </c>
      <c r="F77" s="61">
        <v>2409</v>
      </c>
      <c r="G77" s="61">
        <v>2409</v>
      </c>
    </row>
    <row r="78" ht="39.95" customHeight="1" spans="1:7">
      <c r="A78" s="90" t="s">
        <v>10</v>
      </c>
      <c r="B78" s="77">
        <v>202</v>
      </c>
      <c r="C78" s="77" t="s">
        <v>5</v>
      </c>
      <c r="D78" s="77"/>
      <c r="E78" s="61" t="s">
        <v>11</v>
      </c>
      <c r="F78" s="61" t="s">
        <v>38</v>
      </c>
      <c r="G78" s="61">
        <f>'concentrado diur.'!P3</f>
        <v>0</v>
      </c>
    </row>
    <row r="79" ht="39.95" customHeight="1" spans="1:7">
      <c r="A79" s="90" t="str">
        <f>A55</f>
        <v>004</v>
      </c>
      <c r="B79" s="77" t="str">
        <f>B55</f>
        <v>401-8</v>
      </c>
      <c r="C79" s="77" t="str">
        <f>C55</f>
        <v>NEGOCIOS</v>
      </c>
      <c r="D79" s="77">
        <f>D55</f>
        <v>0</v>
      </c>
      <c r="E79" s="61">
        <v>2166</v>
      </c>
      <c r="F79" s="61">
        <f>'concentrado diur.'!O6</f>
        <v>0</v>
      </c>
      <c r="G79" s="61">
        <f>'concentrado diur.'!P6</f>
        <v>0</v>
      </c>
    </row>
    <row r="80" ht="39.95" customHeight="1" spans="1:7">
      <c r="A80" s="90" t="str">
        <f>A56</f>
        <v>008</v>
      </c>
      <c r="B80" s="77" t="str">
        <f>B56</f>
        <v>511-9</v>
      </c>
      <c r="C80" s="77" t="str">
        <f>C56</f>
        <v>PSICOLOGIA</v>
      </c>
      <c r="D80" s="77">
        <f>D56</f>
        <v>0</v>
      </c>
      <c r="E80" s="61" t="s">
        <v>39</v>
      </c>
      <c r="F80" s="61" t="s">
        <v>39</v>
      </c>
      <c r="G80" s="61">
        <f>'concentrado diur.'!P7</f>
        <v>0</v>
      </c>
    </row>
    <row r="81" ht="39.95" customHeight="1" spans="1:7">
      <c r="A81" s="77">
        <f>A57</f>
        <v>102</v>
      </c>
      <c r="B81" s="77">
        <f>B57</f>
        <v>0</v>
      </c>
      <c r="C81" s="77" t="str">
        <f>C57</f>
        <v>INGLES</v>
      </c>
      <c r="D81" s="77">
        <f>D57</f>
        <v>0</v>
      </c>
      <c r="E81" s="61">
        <v>1433</v>
      </c>
      <c r="F81" s="61">
        <f>'concentrado diur.'!O8</f>
        <v>0</v>
      </c>
      <c r="G81" s="61">
        <f>'concentrado diur.'!P8</f>
        <v>0</v>
      </c>
    </row>
    <row r="82" ht="39.95" customHeight="1" spans="1:7">
      <c r="A82" s="77">
        <f>A58</f>
        <v>104</v>
      </c>
      <c r="B82" s="77">
        <f>B58</f>
        <v>403</v>
      </c>
      <c r="C82" s="77" t="str">
        <f>C58</f>
        <v>SEMESTRAL</v>
      </c>
      <c r="D82" s="77">
        <f>D58</f>
        <v>0</v>
      </c>
      <c r="E82" s="61" t="s">
        <v>16</v>
      </c>
      <c r="F82" s="61" t="s">
        <v>31</v>
      </c>
      <c r="G82" s="61">
        <f>'concentrado diur.'!P9</f>
        <v>0</v>
      </c>
    </row>
    <row r="83" ht="39.95" customHeight="1" spans="1:7">
      <c r="A83" s="77">
        <v>204</v>
      </c>
      <c r="B83" s="77" t="s">
        <v>18</v>
      </c>
      <c r="C83" s="77" t="s">
        <v>19</v>
      </c>
      <c r="D83" s="77"/>
      <c r="E83" s="61" t="s">
        <v>34</v>
      </c>
      <c r="F83" s="61"/>
      <c r="G83" s="61"/>
    </row>
    <row r="84" ht="39.95" customHeight="1" spans="1:7">
      <c r="A84" s="77">
        <v>206</v>
      </c>
      <c r="B84" s="77" t="s">
        <v>20</v>
      </c>
      <c r="C84" s="77" t="s">
        <v>19</v>
      </c>
      <c r="D84" s="77"/>
      <c r="E84" s="61">
        <v>2401</v>
      </c>
      <c r="F84" s="61"/>
      <c r="G84" s="61"/>
    </row>
    <row r="85" ht="39.95" customHeight="1" spans="1:7">
      <c r="A85" s="77">
        <v>210</v>
      </c>
      <c r="B85" s="77" t="s">
        <v>12</v>
      </c>
      <c r="C85" s="77" t="str">
        <f>C59</f>
        <v>CIVIL</v>
      </c>
      <c r="D85" s="77">
        <f>D59</f>
        <v>0</v>
      </c>
      <c r="E85" s="61">
        <v>2306</v>
      </c>
      <c r="F85" s="61"/>
      <c r="G85" s="61"/>
    </row>
    <row r="86" ht="39.95" customHeight="1" spans="1:7">
      <c r="A86" s="77">
        <v>301</v>
      </c>
      <c r="B86" s="77" t="s">
        <v>21</v>
      </c>
      <c r="C86" s="77" t="s">
        <v>5</v>
      </c>
      <c r="D86" s="77">
        <f>D61</f>
        <v>0</v>
      </c>
      <c r="E86" s="61" t="s">
        <v>23</v>
      </c>
      <c r="F86" s="61" t="s">
        <v>23</v>
      </c>
      <c r="G86" s="61"/>
    </row>
    <row r="87" ht="39.95" customHeight="1" spans="1:7">
      <c r="A87" s="77">
        <f t="shared" ref="A87:A92" si="11">A63</f>
        <v>302</v>
      </c>
      <c r="B87" s="77" t="str">
        <f t="shared" ref="B87:B92" si="12">B63</f>
        <v>602 FMQB</v>
      </c>
      <c r="C87" s="77" t="str">
        <f t="shared" ref="C87:C92" si="13">C63</f>
        <v>SEMESTRAL</v>
      </c>
      <c r="D87" s="77">
        <f t="shared" ref="D87:D92" si="14">D63</f>
        <v>0</v>
      </c>
      <c r="E87" s="61" t="s">
        <v>31</v>
      </c>
      <c r="F87" s="61" t="s">
        <v>25</v>
      </c>
      <c r="G87" s="61">
        <f>'concentrado diur.'!P12</f>
        <v>0</v>
      </c>
    </row>
    <row r="88" ht="39.95" customHeight="1" spans="1:7">
      <c r="A88" s="77">
        <f t="shared" si="11"/>
        <v>303</v>
      </c>
      <c r="B88" s="77">
        <f t="shared" si="12"/>
        <v>402</v>
      </c>
      <c r="C88" s="77" t="str">
        <f t="shared" si="13"/>
        <v>SEMESTRAL</v>
      </c>
      <c r="D88" s="77">
        <f t="shared" si="14"/>
        <v>0</v>
      </c>
      <c r="E88" s="61" t="s">
        <v>27</v>
      </c>
      <c r="F88" s="61" t="s">
        <v>27</v>
      </c>
      <c r="G88" s="61">
        <f>'concentrado diur.'!P13</f>
        <v>0</v>
      </c>
    </row>
    <row r="89" ht="39.95" customHeight="1" spans="1:7">
      <c r="A89" s="77">
        <f t="shared" si="11"/>
        <v>304</v>
      </c>
      <c r="B89" s="77">
        <f t="shared" si="12"/>
        <v>201</v>
      </c>
      <c r="C89" s="77" t="str">
        <f t="shared" si="13"/>
        <v>SEMESTRAL</v>
      </c>
      <c r="D89" s="77">
        <f t="shared" si="14"/>
        <v>0</v>
      </c>
      <c r="E89" s="61" t="s">
        <v>28</v>
      </c>
      <c r="F89" s="61" t="s">
        <v>11</v>
      </c>
      <c r="G89" s="61">
        <f>'concentrado diur.'!P14</f>
        <v>0</v>
      </c>
    </row>
    <row r="90" ht="39.95" customHeight="1" spans="1:7">
      <c r="A90" s="77">
        <f t="shared" si="11"/>
        <v>306</v>
      </c>
      <c r="B90" s="77">
        <f t="shared" si="12"/>
        <v>0</v>
      </c>
      <c r="C90" s="77">
        <f t="shared" si="13"/>
        <v>0</v>
      </c>
      <c r="D90" s="77">
        <f t="shared" si="14"/>
        <v>0</v>
      </c>
      <c r="E90" s="61">
        <f>'concentrado diur.'!N16</f>
        <v>0</v>
      </c>
      <c r="F90" s="61">
        <f>'concentrado diur.'!O16</f>
        <v>0</v>
      </c>
      <c r="G90" s="61">
        <f>'concentrado diur.'!P16</f>
        <v>0</v>
      </c>
    </row>
    <row r="91" ht="39.95" customHeight="1" spans="1:7">
      <c r="A91" s="77">
        <f t="shared" si="11"/>
        <v>311</v>
      </c>
      <c r="B91" s="77">
        <f t="shared" si="12"/>
        <v>401</v>
      </c>
      <c r="C91" s="77" t="str">
        <f t="shared" si="13"/>
        <v>SEMESTRAL</v>
      </c>
      <c r="D91" s="77">
        <f t="shared" si="14"/>
        <v>0</v>
      </c>
      <c r="E91" s="61" t="s">
        <v>35</v>
      </c>
      <c r="F91" s="61" t="s">
        <v>16</v>
      </c>
      <c r="G91" s="61">
        <f>'concentrado diur.'!P18</f>
        <v>0</v>
      </c>
    </row>
    <row r="92" ht="39.95" customHeight="1" spans="1:7">
      <c r="A92" s="77">
        <f t="shared" si="11"/>
        <v>313</v>
      </c>
      <c r="B92" s="77" t="str">
        <f t="shared" si="12"/>
        <v>101-8</v>
      </c>
      <c r="C92" s="77" t="str">
        <f t="shared" si="13"/>
        <v>FINANZAS</v>
      </c>
      <c r="D92" s="77" t="e">
        <f t="shared" si="14"/>
        <v>#REF!</v>
      </c>
      <c r="E92" s="61" t="s">
        <v>34</v>
      </c>
      <c r="F92" s="61"/>
      <c r="G92" s="61">
        <f>'concentrado diur.'!P19</f>
        <v>0</v>
      </c>
    </row>
    <row r="93" ht="39.95" customHeight="1" spans="1:7">
      <c r="A93" s="80" t="s">
        <v>0</v>
      </c>
      <c r="B93" s="63"/>
      <c r="C93" s="63"/>
      <c r="D93" s="63"/>
      <c r="E93" s="63"/>
      <c r="F93" s="63"/>
      <c r="G93" s="63"/>
    </row>
    <row r="94" ht="39.95" customHeight="1" spans="1:7">
      <c r="A94" s="81" t="str">
        <f>A49</f>
        <v>PERIODO ENERO- ABRIL  2026</v>
      </c>
      <c r="B94" s="82"/>
      <c r="C94" s="82"/>
      <c r="D94" s="82"/>
      <c r="E94" s="82"/>
      <c r="F94" s="82"/>
      <c r="G94" s="82"/>
    </row>
    <row r="95" ht="39.95" customHeight="1" spans="1:7">
      <c r="A95" s="73" t="s">
        <v>2</v>
      </c>
      <c r="B95" s="74"/>
      <c r="C95" s="74"/>
      <c r="D95" s="83" t="str">
        <f>FECHAS!D12</f>
        <v>VIERNES 20 DE FEBRERO DEL 2026</v>
      </c>
      <c r="E95" s="83"/>
      <c r="F95" s="76" t="str">
        <f>F74</f>
        <v>SEM 7 LIC </v>
      </c>
      <c r="G95" s="76" t="str">
        <f>G74</f>
        <v>SEM 1 SEM</v>
      </c>
    </row>
    <row r="96" ht="39.95" customHeight="1" spans="1:7">
      <c r="A96" s="77" t="str">
        <f t="shared" ref="A96:A103" si="15">A75</f>
        <v>Aula</v>
      </c>
      <c r="B96" s="77" t="str">
        <f t="shared" ref="B96:B103" si="16">B75</f>
        <v>Gpo.</v>
      </c>
      <c r="C96" s="77" t="str">
        <f t="shared" ref="C96:C103" si="17">C75</f>
        <v>Licenciatura</v>
      </c>
      <c r="D96" s="77" t="str">
        <f t="shared" ref="D96:D103" si="18">D75</f>
        <v>Opt</v>
      </c>
      <c r="E96" s="84">
        <v>0.5</v>
      </c>
      <c r="F96" s="85">
        <v>0.541666666666667</v>
      </c>
      <c r="G96" s="85">
        <v>0.583333333333333</v>
      </c>
    </row>
    <row r="97" ht="39.95" customHeight="1" spans="1:7">
      <c r="A97" s="90" t="s">
        <v>3</v>
      </c>
      <c r="B97" s="77" t="s">
        <v>4</v>
      </c>
      <c r="C97" s="77" t="s">
        <v>5</v>
      </c>
      <c r="D97" s="77"/>
      <c r="E97" s="86" t="s">
        <v>36</v>
      </c>
      <c r="F97" s="86" t="s">
        <v>32</v>
      </c>
      <c r="G97" s="86"/>
    </row>
    <row r="98" ht="39.95" customHeight="1" spans="1:7">
      <c r="A98" s="90" t="str">
        <f t="shared" si="15"/>
        <v>002</v>
      </c>
      <c r="B98" s="77" t="str">
        <f t="shared" si="16"/>
        <v>211-9</v>
      </c>
      <c r="C98" s="77" t="str">
        <f t="shared" si="17"/>
        <v>PSICOLOGIA</v>
      </c>
      <c r="D98" s="77">
        <f t="shared" si="18"/>
        <v>0</v>
      </c>
      <c r="E98" s="87"/>
      <c r="F98" s="87">
        <v>1360</v>
      </c>
      <c r="G98" s="87">
        <v>1360</v>
      </c>
    </row>
    <row r="99" ht="39.95" customHeight="1" spans="1:7">
      <c r="A99" s="90" t="str">
        <f t="shared" si="15"/>
        <v>004</v>
      </c>
      <c r="B99" s="77">
        <f t="shared" si="16"/>
        <v>202</v>
      </c>
      <c r="C99" s="77" t="str">
        <f t="shared" si="17"/>
        <v>SEMESTRAL</v>
      </c>
      <c r="D99" s="77">
        <f t="shared" si="18"/>
        <v>0</v>
      </c>
      <c r="E99" s="87" t="s">
        <v>11</v>
      </c>
      <c r="F99" s="87" t="s">
        <v>36</v>
      </c>
      <c r="G99" s="87">
        <f>'concentrado diur.'!S3</f>
        <v>0</v>
      </c>
    </row>
    <row r="100" ht="39.95" customHeight="1" spans="1:7">
      <c r="A100" s="90" t="str">
        <f t="shared" si="15"/>
        <v>004</v>
      </c>
      <c r="B100" s="77" t="str">
        <f t="shared" si="16"/>
        <v>401-8</v>
      </c>
      <c r="C100" s="77" t="str">
        <f t="shared" si="17"/>
        <v>NEGOCIOS</v>
      </c>
      <c r="D100" s="77">
        <f t="shared" si="18"/>
        <v>0</v>
      </c>
      <c r="E100" s="87">
        <f>'concentrado diur.'!Q6</f>
        <v>0</v>
      </c>
      <c r="F100" s="87">
        <f>'concentrado diur.'!R6</f>
        <v>0</v>
      </c>
      <c r="G100" s="87">
        <f>'concentrado diur.'!S6</f>
        <v>0</v>
      </c>
    </row>
    <row r="101" ht="39.95" customHeight="1" spans="1:7">
      <c r="A101" s="90" t="str">
        <f t="shared" si="15"/>
        <v>008</v>
      </c>
      <c r="B101" s="77" t="str">
        <f t="shared" si="16"/>
        <v>511-9</v>
      </c>
      <c r="C101" s="77" t="str">
        <f t="shared" si="17"/>
        <v>PSICOLOGIA</v>
      </c>
      <c r="D101" s="77">
        <f t="shared" si="18"/>
        <v>0</v>
      </c>
      <c r="E101" s="87">
        <v>2372</v>
      </c>
      <c r="F101" s="87"/>
      <c r="G101" s="87">
        <f>'concentrado diur.'!S7</f>
        <v>0</v>
      </c>
    </row>
    <row r="102" ht="39.95" customHeight="1" spans="1:7">
      <c r="A102" s="77">
        <f t="shared" si="15"/>
        <v>102</v>
      </c>
      <c r="B102" s="77">
        <f t="shared" si="16"/>
        <v>0</v>
      </c>
      <c r="C102" s="77" t="str">
        <f t="shared" si="17"/>
        <v>INGLES</v>
      </c>
      <c r="D102" s="77">
        <f t="shared" si="18"/>
        <v>0</v>
      </c>
      <c r="E102" s="87">
        <v>1433</v>
      </c>
      <c r="F102" s="87">
        <f>'concentrado diur.'!R8</f>
        <v>0</v>
      </c>
      <c r="G102" s="87">
        <f>'concentrado diur.'!S8</f>
        <v>0</v>
      </c>
    </row>
    <row r="103" ht="39.95" customHeight="1" spans="1:7">
      <c r="A103" s="77">
        <f t="shared" si="15"/>
        <v>104</v>
      </c>
      <c r="B103" s="77">
        <f t="shared" si="16"/>
        <v>403</v>
      </c>
      <c r="C103" s="77" t="str">
        <f t="shared" si="17"/>
        <v>SEMESTRAL</v>
      </c>
      <c r="D103" s="77">
        <f t="shared" si="18"/>
        <v>0</v>
      </c>
      <c r="E103" s="87" t="s">
        <v>17</v>
      </c>
      <c r="F103" s="87" t="s">
        <v>17</v>
      </c>
      <c r="G103" s="87">
        <f>'concentrado diur.'!S9</f>
        <v>0</v>
      </c>
    </row>
    <row r="104" ht="39.95" customHeight="1" spans="1:7">
      <c r="A104" s="77">
        <v>204</v>
      </c>
      <c r="B104" s="77" t="s">
        <v>18</v>
      </c>
      <c r="C104" s="77" t="str">
        <f>C85</f>
        <v>CIVIL</v>
      </c>
      <c r="D104" s="77">
        <f>D85</f>
        <v>0</v>
      </c>
      <c r="E104" s="87" t="s">
        <v>34</v>
      </c>
      <c r="F104" s="87"/>
      <c r="G104" s="87"/>
    </row>
    <row r="105" ht="39.95" customHeight="1" spans="1:7">
      <c r="A105" s="77">
        <v>206</v>
      </c>
      <c r="B105" s="77" t="s">
        <v>20</v>
      </c>
      <c r="C105" s="77" t="s">
        <v>19</v>
      </c>
      <c r="D105" s="77"/>
      <c r="E105" s="87"/>
      <c r="F105" s="87"/>
      <c r="G105" s="87"/>
    </row>
    <row r="106" ht="39.95" customHeight="1" spans="1:7">
      <c r="A106" s="77">
        <v>210</v>
      </c>
      <c r="B106" s="77" t="s">
        <v>12</v>
      </c>
      <c r="C106" s="77" t="s">
        <v>19</v>
      </c>
      <c r="D106" s="77"/>
      <c r="E106" s="87">
        <v>1567</v>
      </c>
      <c r="F106" s="87"/>
      <c r="G106" s="87"/>
    </row>
    <row r="107" ht="39.95" customHeight="1" spans="1:7">
      <c r="A107" s="77">
        <f t="shared" ref="A107:A113" si="19">A86</f>
        <v>301</v>
      </c>
      <c r="B107" s="77" t="str">
        <f t="shared" ref="B107:B113" si="20">B86</f>
        <v>601 FMQB</v>
      </c>
      <c r="C107" s="77" t="str">
        <f t="shared" ref="C107:C113" si="21">C86</f>
        <v>SEMESTRAL</v>
      </c>
      <c r="D107" s="77">
        <f>D86</f>
        <v>0</v>
      </c>
      <c r="E107" s="87" t="s">
        <v>33</v>
      </c>
      <c r="F107" s="87" t="s">
        <v>31</v>
      </c>
      <c r="G107" s="87"/>
    </row>
    <row r="108" ht="39.95" customHeight="1" spans="1:7">
      <c r="A108" s="77">
        <f t="shared" si="19"/>
        <v>302</v>
      </c>
      <c r="B108" s="77" t="str">
        <f t="shared" si="20"/>
        <v>602 FMQB</v>
      </c>
      <c r="C108" s="77" t="str">
        <f t="shared" si="21"/>
        <v>SEMESTRAL</v>
      </c>
      <c r="D108" s="77">
        <f>D87</f>
        <v>0</v>
      </c>
      <c r="E108" s="87" t="s">
        <v>23</v>
      </c>
      <c r="F108" s="87" t="s">
        <v>23</v>
      </c>
      <c r="G108" s="87">
        <f>'concentrado diur.'!S12</f>
        <v>0</v>
      </c>
    </row>
    <row r="109" ht="39.95" customHeight="1" spans="1:7">
      <c r="A109" s="77">
        <f t="shared" si="19"/>
        <v>303</v>
      </c>
      <c r="B109" s="77">
        <f t="shared" si="20"/>
        <v>402</v>
      </c>
      <c r="C109" s="77" t="str">
        <f t="shared" si="21"/>
        <v>SEMESTRAL</v>
      </c>
      <c r="D109" s="77">
        <f>D88</f>
        <v>0</v>
      </c>
      <c r="E109" s="87" t="s">
        <v>35</v>
      </c>
      <c r="F109" s="87" t="s">
        <v>27</v>
      </c>
      <c r="G109" s="87">
        <f>'concentrado diur.'!S13</f>
        <v>0</v>
      </c>
    </row>
    <row r="110" ht="39.95" customHeight="1" spans="1:7">
      <c r="A110" s="77">
        <f t="shared" si="19"/>
        <v>304</v>
      </c>
      <c r="B110" s="77">
        <f t="shared" si="20"/>
        <v>201</v>
      </c>
      <c r="C110" s="77" t="str">
        <f t="shared" si="21"/>
        <v>SEMESTRAL</v>
      </c>
      <c r="D110" s="77">
        <f>D89</f>
        <v>0</v>
      </c>
      <c r="E110" s="87" t="s">
        <v>27</v>
      </c>
      <c r="F110" s="87" t="s">
        <v>11</v>
      </c>
      <c r="G110" s="87">
        <f>'concentrado diur.'!S14</f>
        <v>0</v>
      </c>
    </row>
    <row r="111" ht="39.95" customHeight="1" spans="1:7">
      <c r="A111" s="77">
        <f t="shared" si="19"/>
        <v>306</v>
      </c>
      <c r="B111" s="77">
        <f t="shared" si="20"/>
        <v>0</v>
      </c>
      <c r="C111" s="77">
        <f t="shared" si="21"/>
        <v>0</v>
      </c>
      <c r="D111" s="77">
        <f t="shared" ref="D111:D116" si="22">D90</f>
        <v>0</v>
      </c>
      <c r="E111" s="87">
        <f>'concentrado diur.'!Q16</f>
        <v>0</v>
      </c>
      <c r="F111" s="87">
        <f>'concentrado diur.'!R16</f>
        <v>0</v>
      </c>
      <c r="G111" s="87">
        <f>'concentrado diur.'!S16</f>
        <v>0</v>
      </c>
    </row>
    <row r="112" ht="42" customHeight="1" spans="1:7">
      <c r="A112" s="77">
        <f t="shared" si="19"/>
        <v>311</v>
      </c>
      <c r="B112" s="77">
        <f t="shared" si="20"/>
        <v>401</v>
      </c>
      <c r="C112" s="77" t="str">
        <f t="shared" si="21"/>
        <v>SEMESTRAL</v>
      </c>
      <c r="D112" s="77">
        <f t="shared" si="22"/>
        <v>0</v>
      </c>
      <c r="E112" s="87" t="s">
        <v>28</v>
      </c>
      <c r="F112" s="87" t="s">
        <v>28</v>
      </c>
      <c r="G112" s="87">
        <f>'concentrado diur.'!S18</f>
        <v>0</v>
      </c>
    </row>
    <row r="113" ht="60" customHeight="1" spans="1:7">
      <c r="A113" s="77">
        <f t="shared" si="19"/>
        <v>313</v>
      </c>
      <c r="B113" s="77" t="str">
        <f t="shared" si="20"/>
        <v>101-8</v>
      </c>
      <c r="C113" s="77" t="str">
        <f t="shared" si="21"/>
        <v>FINANZAS</v>
      </c>
      <c r="D113" s="77" t="e">
        <f t="shared" si="22"/>
        <v>#REF!</v>
      </c>
      <c r="E113" s="87" t="s">
        <v>34</v>
      </c>
      <c r="F113" s="87"/>
      <c r="G113" s="87">
        <f>'concentrado diur.'!S19</f>
        <v>0</v>
      </c>
    </row>
    <row r="114" ht="15.75"/>
  </sheetData>
  <mergeCells count="22">
    <mergeCell ref="A1:G1"/>
    <mergeCell ref="A2:G2"/>
    <mergeCell ref="A3:C3"/>
    <mergeCell ref="D3:E3"/>
    <mergeCell ref="A25:G25"/>
    <mergeCell ref="A26:G26"/>
    <mergeCell ref="A27:C27"/>
    <mergeCell ref="D27:E27"/>
    <mergeCell ref="A47:F47"/>
    <mergeCell ref="A48:G48"/>
    <mergeCell ref="A49:G49"/>
    <mergeCell ref="A50:C50"/>
    <mergeCell ref="D50:E50"/>
    <mergeCell ref="A71:F71"/>
    <mergeCell ref="A72:G72"/>
    <mergeCell ref="A73:G73"/>
    <mergeCell ref="A74:C74"/>
    <mergeCell ref="D74:E74"/>
    <mergeCell ref="A93:G93"/>
    <mergeCell ref="A94:G94"/>
    <mergeCell ref="A95:C95"/>
    <mergeCell ref="D95:E95"/>
  </mergeCells>
  <conditionalFormatting sqref="B5:G5">
    <cfRule type="cellIs" dxfId="0" priority="8" operator="equal">
      <formula>0</formula>
    </cfRule>
  </conditionalFormatting>
  <conditionalFormatting sqref="B7:G7">
    <cfRule type="cellIs" dxfId="0" priority="5" operator="equal">
      <formula>0</formula>
    </cfRule>
  </conditionalFormatting>
  <conditionalFormatting sqref="B12:G12">
    <cfRule type="cellIs" dxfId="0" priority="10" operator="equal">
      <formula>0</formula>
    </cfRule>
  </conditionalFormatting>
  <conditionalFormatting sqref="B15:G15">
    <cfRule type="cellIs" dxfId="0" priority="9" operator="equal">
      <formula>0</formula>
    </cfRule>
  </conditionalFormatting>
  <conditionalFormatting sqref="A31:G31">
    <cfRule type="cellIs" dxfId="0" priority="4" operator="equal">
      <formula>0</formula>
    </cfRule>
  </conditionalFormatting>
  <conditionalFormatting sqref="A37:G37">
    <cfRule type="cellIs" dxfId="0" priority="7" operator="equal">
      <formula>0</formula>
    </cfRule>
  </conditionalFormatting>
  <conditionalFormatting sqref="A54:G54">
    <cfRule type="cellIs" dxfId="0" priority="3" operator="equal">
      <formula>0</formula>
    </cfRule>
  </conditionalFormatting>
  <conditionalFormatting sqref="A78:G78">
    <cfRule type="cellIs" dxfId="0" priority="2" operator="equal">
      <formula>0</formula>
    </cfRule>
  </conditionalFormatting>
  <conditionalFormatting sqref="A99:G99">
    <cfRule type="cellIs" dxfId="0" priority="1" operator="equal">
      <formula>0</formula>
    </cfRule>
  </conditionalFormatting>
  <conditionalFormatting sqref="B4:G4 B6:G6 B8:G11 B13:G14 B16:G22 B114:G1048576">
    <cfRule type="cellIs" dxfId="0" priority="42" operator="equal">
      <formula>0</formula>
    </cfRule>
  </conditionalFormatting>
  <conditionalFormatting sqref="A23:G24 A30:G30 A32:G36 A38:G46 A53:G53 A55:G70 A77:G77 A79:G92 A100:G113 A98:C98 E98:G98">
    <cfRule type="cellIs" dxfId="0" priority="21" operator="equal">
      <formula>0</formula>
    </cfRule>
  </conditionalFormatting>
  <printOptions horizontalCentered="1" verticalCentered="1"/>
  <pageMargins left="0.236220472440945" right="0.236220472440945" top="0.748031496062992" bottom="0.748031496062992" header="0.31496062992126" footer="0.31496062992126"/>
  <pageSetup paperSize="1" scale="15" orientation="portrait"/>
  <headerFooter/>
  <rowBreaks count="4" manualBreakCount="4">
    <brk id="24" max="16383" man="1"/>
    <brk id="46" max="16383" man="1"/>
    <brk id="47" max="16383" man="1"/>
    <brk id="91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73"/>
  <sheetViews>
    <sheetView view="pageBreakPreview" zoomScaleNormal="100" workbookViewId="0">
      <selection activeCell="H6" sqref="H6"/>
    </sheetView>
  </sheetViews>
  <sheetFormatPr defaultColWidth="12.5714285714286" defaultRowHeight="18"/>
  <cols>
    <col min="1" max="1" width="11.2857142857143" style="1" customWidth="1"/>
    <col min="2" max="2" width="13.2857142857143" style="2" customWidth="1"/>
    <col min="3" max="3" width="14.2857142857143" style="1" customWidth="1"/>
    <col min="4" max="4" width="8" customWidth="1"/>
    <col min="5" max="5" width="9.14285714285714" style="1" customWidth="1"/>
    <col min="6" max="7" width="8.57142857142857" customWidth="1"/>
    <col min="8" max="19" width="7.71428571428571" customWidth="1"/>
    <col min="20" max="20" width="8" customWidth="1"/>
    <col min="21" max="21" width="5.57142857142857" customWidth="1"/>
    <col min="22" max="22" width="7.14285714285714" customWidth="1"/>
  </cols>
  <sheetData>
    <row r="1" ht="22.5" customHeight="1" spans="1:20">
      <c r="A1" s="3" t="s">
        <v>40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33"/>
    </row>
    <row r="2" ht="22.5" customHeight="1" spans="1:20">
      <c r="A2" s="5" t="s">
        <v>41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34"/>
    </row>
    <row r="3" ht="22.5" customHeight="1" spans="1:20">
      <c r="A3" s="5" t="s">
        <v>42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34"/>
    </row>
    <row r="4" ht="24" customHeight="1" spans="1:20">
      <c r="A4" s="7" t="s">
        <v>43</v>
      </c>
      <c r="B4" s="8" t="s">
        <v>44</v>
      </c>
      <c r="C4" s="9" t="s">
        <v>45</v>
      </c>
      <c r="D4" s="10" t="s">
        <v>46</v>
      </c>
      <c r="E4" s="11" t="s">
        <v>47</v>
      </c>
      <c r="F4" s="12"/>
      <c r="G4" s="13"/>
      <c r="H4" s="14" t="s">
        <v>48</v>
      </c>
      <c r="I4" s="12"/>
      <c r="J4" s="13"/>
      <c r="K4" s="14" t="s">
        <v>49</v>
      </c>
      <c r="L4" s="12"/>
      <c r="M4" s="13"/>
      <c r="N4" s="14" t="s">
        <v>50</v>
      </c>
      <c r="O4" s="12"/>
      <c r="P4" s="13"/>
      <c r="Q4" s="14" t="s">
        <v>51</v>
      </c>
      <c r="R4" s="12"/>
      <c r="S4" s="13"/>
      <c r="T4" s="35" t="s">
        <v>43</v>
      </c>
    </row>
    <row r="5" ht="24" customHeight="1" spans="1:20">
      <c r="A5" s="7"/>
      <c r="B5" s="15"/>
      <c r="C5" s="16"/>
      <c r="D5" s="17"/>
      <c r="E5" s="18" t="s">
        <v>52</v>
      </c>
      <c r="F5" s="19" t="s">
        <v>53</v>
      </c>
      <c r="G5" s="19" t="s">
        <v>54</v>
      </c>
      <c r="H5" s="20" t="s">
        <v>52</v>
      </c>
      <c r="I5" s="19" t="s">
        <v>53</v>
      </c>
      <c r="J5" s="19" t="s">
        <v>54</v>
      </c>
      <c r="K5" s="20" t="s">
        <v>52</v>
      </c>
      <c r="L5" s="19" t="s">
        <v>53</v>
      </c>
      <c r="M5" s="19" t="s">
        <v>54</v>
      </c>
      <c r="N5" s="20" t="s">
        <v>52</v>
      </c>
      <c r="O5" s="19" t="s">
        <v>53</v>
      </c>
      <c r="P5" s="19" t="s">
        <v>54</v>
      </c>
      <c r="Q5" s="20" t="s">
        <v>52</v>
      </c>
      <c r="R5" s="19" t="s">
        <v>53</v>
      </c>
      <c r="S5" s="19" t="s">
        <v>54</v>
      </c>
      <c r="T5" s="36"/>
    </row>
    <row r="6" ht="35.1" customHeight="1" spans="1:22">
      <c r="A6" s="91" t="s">
        <v>10</v>
      </c>
      <c r="B6" s="22" t="s">
        <v>55</v>
      </c>
      <c r="C6" s="23" t="s">
        <v>56</v>
      </c>
      <c r="D6" s="21"/>
      <c r="E6" s="24">
        <v>2166</v>
      </c>
      <c r="F6" s="25"/>
      <c r="G6" s="25"/>
      <c r="H6" s="26"/>
      <c r="I6" s="25"/>
      <c r="J6" s="25"/>
      <c r="K6" s="26">
        <v>2166</v>
      </c>
      <c r="L6" s="25"/>
      <c r="M6" s="25"/>
      <c r="N6" s="26"/>
      <c r="O6" s="25"/>
      <c r="P6" s="25"/>
      <c r="Q6" s="26"/>
      <c r="R6" s="25"/>
      <c r="S6" s="25"/>
      <c r="T6" s="92" t="str">
        <f t="shared" ref="T6:T11" si="0">A6</f>
        <v>004</v>
      </c>
      <c r="U6" s="38"/>
      <c r="V6" s="38"/>
    </row>
    <row r="7" ht="35.1" customHeight="1" spans="1:22">
      <c r="A7" s="91" t="s">
        <v>57</v>
      </c>
      <c r="B7" s="22" t="s">
        <v>58</v>
      </c>
      <c r="C7" s="23" t="s">
        <v>56</v>
      </c>
      <c r="D7" s="21"/>
      <c r="E7" s="24">
        <v>1246</v>
      </c>
      <c r="F7" s="25"/>
      <c r="G7" s="25"/>
      <c r="H7" s="26">
        <v>2166</v>
      </c>
      <c r="I7" s="25"/>
      <c r="J7" s="25"/>
      <c r="K7" s="26">
        <v>1228</v>
      </c>
      <c r="L7" s="25"/>
      <c r="M7" s="25"/>
      <c r="N7" s="26">
        <v>1246</v>
      </c>
      <c r="O7" s="25"/>
      <c r="P7" s="25"/>
      <c r="Q7" s="26"/>
      <c r="R7" s="25"/>
      <c r="S7" s="25"/>
      <c r="T7" s="92" t="str">
        <f t="shared" si="0"/>
        <v>007</v>
      </c>
      <c r="U7" s="38"/>
      <c r="V7" s="38"/>
    </row>
    <row r="8" ht="28" customHeight="1" spans="1:20">
      <c r="A8" s="27">
        <v>102</v>
      </c>
      <c r="B8" s="22" t="s">
        <v>59</v>
      </c>
      <c r="C8" s="23" t="s">
        <v>19</v>
      </c>
      <c r="D8" s="28"/>
      <c r="E8" s="24">
        <v>1246</v>
      </c>
      <c r="F8" s="25"/>
      <c r="G8" s="25"/>
      <c r="H8" s="26">
        <v>2231</v>
      </c>
      <c r="I8" s="25"/>
      <c r="J8" s="25"/>
      <c r="K8" s="26">
        <v>2074</v>
      </c>
      <c r="L8" s="25"/>
      <c r="M8" s="25"/>
      <c r="N8" s="26">
        <v>2074</v>
      </c>
      <c r="O8" s="25"/>
      <c r="P8" s="25"/>
      <c r="Q8" s="26">
        <v>2074</v>
      </c>
      <c r="R8" s="25"/>
      <c r="S8" s="25"/>
      <c r="T8" s="37">
        <f t="shared" si="0"/>
        <v>102</v>
      </c>
    </row>
    <row r="9" ht="35.1" customHeight="1" spans="1:22">
      <c r="A9" s="27">
        <v>104</v>
      </c>
      <c r="B9" s="22">
        <v>303</v>
      </c>
      <c r="C9" s="23" t="s">
        <v>5</v>
      </c>
      <c r="D9" s="28"/>
      <c r="E9" s="24" t="s">
        <v>26</v>
      </c>
      <c r="F9" s="25" t="s">
        <v>26</v>
      </c>
      <c r="G9" s="25"/>
      <c r="H9" s="26" t="s">
        <v>32</v>
      </c>
      <c r="I9" s="25" t="s">
        <v>16</v>
      </c>
      <c r="J9" s="25"/>
      <c r="K9" s="26" t="s">
        <v>16</v>
      </c>
      <c r="L9" s="25" t="s">
        <v>16</v>
      </c>
      <c r="M9" s="25"/>
      <c r="N9" s="26" t="s">
        <v>37</v>
      </c>
      <c r="O9" s="25" t="s">
        <v>35</v>
      </c>
      <c r="P9" s="25"/>
      <c r="Q9" s="26" t="s">
        <v>35</v>
      </c>
      <c r="R9" s="25" t="s">
        <v>35</v>
      </c>
      <c r="S9" s="25"/>
      <c r="T9" s="37">
        <f t="shared" si="0"/>
        <v>104</v>
      </c>
      <c r="U9" s="38"/>
      <c r="V9" s="38"/>
    </row>
    <row r="10" ht="35.1" customHeight="1" spans="1:22">
      <c r="A10" s="21">
        <v>207</v>
      </c>
      <c r="B10" s="22" t="s">
        <v>60</v>
      </c>
      <c r="C10" s="23" t="s">
        <v>9</v>
      </c>
      <c r="D10" s="21"/>
      <c r="E10" s="24">
        <v>2422</v>
      </c>
      <c r="F10" s="25">
        <v>2409</v>
      </c>
      <c r="G10" s="25"/>
      <c r="H10" s="26">
        <v>2326</v>
      </c>
      <c r="I10" s="25">
        <v>2531</v>
      </c>
      <c r="J10" s="25"/>
      <c r="K10" s="26">
        <v>2409</v>
      </c>
      <c r="L10" s="25">
        <v>2409</v>
      </c>
      <c r="M10" s="25"/>
      <c r="N10" s="26">
        <v>2531</v>
      </c>
      <c r="O10" s="25"/>
      <c r="P10" s="25"/>
      <c r="Q10" s="26">
        <v>2326</v>
      </c>
      <c r="R10" s="25">
        <v>2531</v>
      </c>
      <c r="S10" s="25"/>
      <c r="T10" s="37">
        <f t="shared" si="0"/>
        <v>207</v>
      </c>
      <c r="U10" s="38"/>
      <c r="V10" s="38"/>
    </row>
    <row r="11" ht="35.1" customHeight="1" spans="1:22">
      <c r="A11" s="21">
        <v>204</v>
      </c>
      <c r="B11" s="22" t="s">
        <v>61</v>
      </c>
      <c r="C11" s="23" t="s">
        <v>9</v>
      </c>
      <c r="D11" s="21"/>
      <c r="E11" s="24">
        <v>2023</v>
      </c>
      <c r="F11" s="25">
        <v>1060</v>
      </c>
      <c r="G11" s="25">
        <v>1228</v>
      </c>
      <c r="H11" s="26">
        <v>2531</v>
      </c>
      <c r="I11" s="25">
        <v>2422</v>
      </c>
      <c r="J11" s="25">
        <v>2353</v>
      </c>
      <c r="K11" s="26">
        <v>2023</v>
      </c>
      <c r="L11" s="25">
        <v>2531</v>
      </c>
      <c r="M11" s="25">
        <v>2531</v>
      </c>
      <c r="N11" s="26">
        <v>2422</v>
      </c>
      <c r="O11" s="25">
        <v>2353</v>
      </c>
      <c r="P11" s="25">
        <v>2353</v>
      </c>
      <c r="Q11" s="26">
        <v>1060</v>
      </c>
      <c r="R11" s="25">
        <v>1060</v>
      </c>
      <c r="S11" s="25">
        <v>1228</v>
      </c>
      <c r="T11" s="37">
        <f t="shared" si="0"/>
        <v>204</v>
      </c>
      <c r="U11" s="38"/>
      <c r="V11" s="38"/>
    </row>
    <row r="12" ht="35.1" customHeight="1" spans="1:22">
      <c r="A12" s="21">
        <v>302</v>
      </c>
      <c r="B12" s="22">
        <v>502</v>
      </c>
      <c r="C12" s="23" t="s">
        <v>5</v>
      </c>
      <c r="D12" s="21" t="s">
        <v>62</v>
      </c>
      <c r="E12" s="24" t="s">
        <v>63</v>
      </c>
      <c r="F12" s="25" t="s">
        <v>63</v>
      </c>
      <c r="G12" s="25"/>
      <c r="H12" s="26" t="s">
        <v>25</v>
      </c>
      <c r="I12" s="25" t="s">
        <v>25</v>
      </c>
      <c r="J12" s="25"/>
      <c r="K12" s="26" t="s">
        <v>37</v>
      </c>
      <c r="L12" s="25"/>
      <c r="M12" s="25"/>
      <c r="N12" s="26" t="s">
        <v>33</v>
      </c>
      <c r="O12" s="25" t="s">
        <v>36</v>
      </c>
      <c r="P12" s="25"/>
      <c r="Q12" s="26" t="s">
        <v>37</v>
      </c>
      <c r="R12" s="25" t="s">
        <v>63</v>
      </c>
      <c r="S12" s="25"/>
      <c r="T12" s="37">
        <f t="shared" ref="T12:T21" si="1">A12</f>
        <v>302</v>
      </c>
      <c r="U12" s="38"/>
      <c r="V12" s="38"/>
    </row>
    <row r="13" ht="35.1" customHeight="1" spans="1:21">
      <c r="A13" s="21">
        <v>303</v>
      </c>
      <c r="B13" s="22">
        <v>302</v>
      </c>
      <c r="C13" s="23" t="s">
        <v>5</v>
      </c>
      <c r="D13" s="29"/>
      <c r="E13" s="24" t="s">
        <v>35</v>
      </c>
      <c r="F13" s="25" t="s">
        <v>35</v>
      </c>
      <c r="G13" s="25"/>
      <c r="H13" s="26" t="s">
        <v>37</v>
      </c>
      <c r="I13" s="25" t="s">
        <v>64</v>
      </c>
      <c r="J13" s="25"/>
      <c r="K13" s="26" t="s">
        <v>35</v>
      </c>
      <c r="L13" s="25"/>
      <c r="M13" s="25"/>
      <c r="N13" s="26" t="s">
        <v>64</v>
      </c>
      <c r="O13" s="25" t="s">
        <v>64</v>
      </c>
      <c r="P13" s="25"/>
      <c r="Q13" s="26" t="s">
        <v>64</v>
      </c>
      <c r="R13" s="25"/>
      <c r="S13" s="25"/>
      <c r="T13" s="37">
        <f t="shared" si="1"/>
        <v>303</v>
      </c>
      <c r="U13" s="39"/>
    </row>
    <row r="14" ht="35.1" customHeight="1" spans="1:20">
      <c r="A14" s="21">
        <v>304</v>
      </c>
      <c r="B14" s="30">
        <v>101</v>
      </c>
      <c r="C14" s="23" t="s">
        <v>5</v>
      </c>
      <c r="D14" s="21"/>
      <c r="E14" s="24" t="s">
        <v>27</v>
      </c>
      <c r="F14" s="31" t="s">
        <v>27</v>
      </c>
      <c r="G14" s="31"/>
      <c r="H14" s="26" t="s">
        <v>65</v>
      </c>
      <c r="I14" s="25" t="s">
        <v>66</v>
      </c>
      <c r="J14" s="25"/>
      <c r="K14" s="26" t="s">
        <v>66</v>
      </c>
      <c r="L14" s="25" t="s">
        <v>66</v>
      </c>
      <c r="M14" s="25"/>
      <c r="N14" s="26" t="s">
        <v>27</v>
      </c>
      <c r="O14" s="25" t="s">
        <v>65</v>
      </c>
      <c r="P14" s="25"/>
      <c r="Q14" s="26" t="s">
        <v>27</v>
      </c>
      <c r="R14" s="25" t="s">
        <v>27</v>
      </c>
      <c r="S14" s="25"/>
      <c r="T14" s="37">
        <f t="shared" si="1"/>
        <v>304</v>
      </c>
    </row>
    <row r="15" ht="35.1" customHeight="1" spans="1:20">
      <c r="A15" s="21">
        <v>305</v>
      </c>
      <c r="B15" s="30">
        <v>102</v>
      </c>
      <c r="C15" s="23" t="s">
        <v>5</v>
      </c>
      <c r="D15" s="21"/>
      <c r="E15" s="24" t="s">
        <v>11</v>
      </c>
      <c r="F15" s="31" t="s">
        <v>66</v>
      </c>
      <c r="G15" s="31"/>
      <c r="H15" s="26" t="s">
        <v>36</v>
      </c>
      <c r="I15" s="25" t="s">
        <v>36</v>
      </c>
      <c r="J15" s="25"/>
      <c r="K15" s="26" t="s">
        <v>27</v>
      </c>
      <c r="L15" s="25" t="s">
        <v>27</v>
      </c>
      <c r="M15" s="25"/>
      <c r="N15" s="26" t="s">
        <v>22</v>
      </c>
      <c r="O15" s="25" t="s">
        <v>27</v>
      </c>
      <c r="P15" s="25"/>
      <c r="Q15" s="26" t="s">
        <v>11</v>
      </c>
      <c r="R15" s="25" t="s">
        <v>11</v>
      </c>
      <c r="S15" s="25"/>
      <c r="T15" s="37">
        <f t="shared" si="1"/>
        <v>305</v>
      </c>
    </row>
    <row r="16" ht="35.1" customHeight="1" spans="1:20">
      <c r="A16" s="21">
        <v>306</v>
      </c>
      <c r="B16" s="30"/>
      <c r="C16" s="23"/>
      <c r="D16" s="21"/>
      <c r="E16" s="24"/>
      <c r="F16" s="31"/>
      <c r="G16" s="31"/>
      <c r="H16" s="26"/>
      <c r="I16" s="25"/>
      <c r="J16" s="25"/>
      <c r="K16" s="26"/>
      <c r="L16" s="25"/>
      <c r="M16" s="25"/>
      <c r="N16" s="26"/>
      <c r="O16" s="25"/>
      <c r="P16" s="25"/>
      <c r="Q16" s="26"/>
      <c r="R16" s="25"/>
      <c r="S16" s="25"/>
      <c r="T16" s="37">
        <f t="shared" si="1"/>
        <v>306</v>
      </c>
    </row>
    <row r="17" ht="35.1" customHeight="1" spans="1:20">
      <c r="A17" s="21">
        <v>301</v>
      </c>
      <c r="B17" s="30">
        <v>501</v>
      </c>
      <c r="C17" s="23" t="s">
        <v>5</v>
      </c>
      <c r="D17" s="21" t="s">
        <v>62</v>
      </c>
      <c r="E17" s="24" t="s">
        <v>22</v>
      </c>
      <c r="F17" s="31" t="s">
        <v>64</v>
      </c>
      <c r="G17" s="31"/>
      <c r="H17" s="26" t="s">
        <v>67</v>
      </c>
      <c r="I17" s="25" t="s">
        <v>68</v>
      </c>
      <c r="J17" s="25"/>
      <c r="K17" s="26" t="s">
        <v>63</v>
      </c>
      <c r="L17" s="25" t="s">
        <v>63</v>
      </c>
      <c r="M17" s="25"/>
      <c r="N17" s="26" t="s">
        <v>32</v>
      </c>
      <c r="O17" s="25" t="s">
        <v>32</v>
      </c>
      <c r="P17" s="25"/>
      <c r="Q17" s="26" t="s">
        <v>63</v>
      </c>
      <c r="R17" s="25" t="s">
        <v>17</v>
      </c>
      <c r="S17" s="25"/>
      <c r="T17" s="37">
        <f t="shared" si="1"/>
        <v>301</v>
      </c>
    </row>
    <row r="18" ht="35.1" customHeight="1" spans="1:22">
      <c r="A18" s="21">
        <v>311</v>
      </c>
      <c r="B18" s="30">
        <v>301</v>
      </c>
      <c r="C18" s="23" t="s">
        <v>5</v>
      </c>
      <c r="D18" s="21"/>
      <c r="E18" s="24" t="s">
        <v>16</v>
      </c>
      <c r="F18" s="25" t="s">
        <v>16</v>
      </c>
      <c r="G18" s="25"/>
      <c r="H18" s="26" t="s">
        <v>16</v>
      </c>
      <c r="I18" s="25" t="s">
        <v>26</v>
      </c>
      <c r="J18" s="25"/>
      <c r="K18" s="26" t="s">
        <v>25</v>
      </c>
      <c r="L18" s="25" t="s">
        <v>25</v>
      </c>
      <c r="M18" s="25"/>
      <c r="N18" s="26" t="s">
        <v>35</v>
      </c>
      <c r="O18" s="25"/>
      <c r="P18" s="25"/>
      <c r="Q18" s="26" t="s">
        <v>66</v>
      </c>
      <c r="R18" s="25"/>
      <c r="S18" s="25"/>
      <c r="T18" s="37">
        <f t="shared" si="1"/>
        <v>311</v>
      </c>
      <c r="U18" s="38"/>
      <c r="V18" s="38"/>
    </row>
    <row r="19" ht="35.1" customHeight="1" spans="1:22">
      <c r="A19" s="91" t="s">
        <v>3</v>
      </c>
      <c r="B19" s="22">
        <v>503</v>
      </c>
      <c r="C19" s="23" t="s">
        <v>5</v>
      </c>
      <c r="D19" s="28" t="s">
        <v>69</v>
      </c>
      <c r="E19" s="24" t="s">
        <v>37</v>
      </c>
      <c r="F19" s="25" t="s">
        <v>25</v>
      </c>
      <c r="G19" s="25"/>
      <c r="H19" s="26" t="s">
        <v>17</v>
      </c>
      <c r="I19" s="25" t="s">
        <v>32</v>
      </c>
      <c r="J19" s="25"/>
      <c r="K19" s="26" t="s">
        <v>11</v>
      </c>
      <c r="L19" s="25" t="s">
        <v>36</v>
      </c>
      <c r="M19" s="25"/>
      <c r="N19" s="26" t="s">
        <v>36</v>
      </c>
      <c r="O19" s="25" t="s">
        <v>25</v>
      </c>
      <c r="P19" s="25"/>
      <c r="Q19" s="26" t="s">
        <v>17</v>
      </c>
      <c r="R19" s="25" t="s">
        <v>32</v>
      </c>
      <c r="S19" s="25"/>
      <c r="T19" s="92" t="str">
        <f t="shared" si="1"/>
        <v>001</v>
      </c>
      <c r="U19" s="38"/>
      <c r="V19" s="38"/>
    </row>
    <row r="20" ht="24" customHeight="1" spans="1:21">
      <c r="A20" s="21"/>
      <c r="B20" s="22"/>
      <c r="C20" s="32"/>
      <c r="D20" s="29"/>
      <c r="E20" s="24"/>
      <c r="F20" s="25"/>
      <c r="G20" s="25"/>
      <c r="H20" s="26"/>
      <c r="I20" s="25"/>
      <c r="J20" s="25"/>
      <c r="K20" s="26"/>
      <c r="L20" s="25"/>
      <c r="M20" s="25"/>
      <c r="N20" s="26"/>
      <c r="O20" s="25"/>
      <c r="P20" s="25"/>
      <c r="Q20" s="26"/>
      <c r="R20" s="25"/>
      <c r="S20" s="25"/>
      <c r="T20" s="37">
        <f t="shared" si="1"/>
        <v>0</v>
      </c>
      <c r="U20" s="39"/>
    </row>
    <row r="273" spans="1:1">
      <c r="A273" s="1" t="e">
        <f>'concentrado diur.'!#REF!</f>
        <v>#REF!</v>
      </c>
    </row>
  </sheetData>
  <autoFilter xmlns:etc="http://www.wps.cn/officeDocument/2017/etCustomData" ref="A5:NW20" etc:filterBottomFollowUsedRange="0">
    <extLst/>
  </autoFilter>
  <mergeCells count="13">
    <mergeCell ref="A1:T1"/>
    <mergeCell ref="A2:T2"/>
    <mergeCell ref="A3:T3"/>
    <mergeCell ref="E4:G4"/>
    <mergeCell ref="H4:J4"/>
    <mergeCell ref="K4:M4"/>
    <mergeCell ref="N4:P4"/>
    <mergeCell ref="Q4:S4"/>
    <mergeCell ref="A4:A5"/>
    <mergeCell ref="B4:B5"/>
    <mergeCell ref="C4:C5"/>
    <mergeCell ref="D4:D5"/>
    <mergeCell ref="T4:T5"/>
  </mergeCells>
  <conditionalFormatting sqref="H5">
    <cfRule type="duplicateValues" dxfId="1" priority="9780"/>
  </conditionalFormatting>
  <conditionalFormatting sqref="I5:J5">
    <cfRule type="duplicateValues" dxfId="1" priority="9779"/>
  </conditionalFormatting>
  <conditionalFormatting sqref="K5">
    <cfRule type="duplicateValues" dxfId="1" priority="9775"/>
  </conditionalFormatting>
  <conditionalFormatting sqref="L5:M5">
    <cfRule type="duplicateValues" dxfId="1" priority="9774"/>
  </conditionalFormatting>
  <conditionalFormatting sqref="N5">
    <cfRule type="duplicateValues" dxfId="1" priority="9770"/>
  </conditionalFormatting>
  <conditionalFormatting sqref="O5:P5">
    <cfRule type="duplicateValues" dxfId="1" priority="9769"/>
  </conditionalFormatting>
  <conditionalFormatting sqref="Q5">
    <cfRule type="duplicateValues" dxfId="1" priority="9765"/>
  </conditionalFormatting>
  <conditionalFormatting sqref="R5:S5">
    <cfRule type="duplicateValues" dxfId="1" priority="9764"/>
  </conditionalFormatting>
  <conditionalFormatting sqref="A6">
    <cfRule type="duplicateValues" dxfId="1" priority="11"/>
  </conditionalFormatting>
  <conditionalFormatting sqref="D6">
    <cfRule type="duplicateValues" dxfId="1" priority="10"/>
  </conditionalFormatting>
  <conditionalFormatting sqref="E6">
    <cfRule type="duplicateValues" dxfId="1" priority="12"/>
  </conditionalFormatting>
  <conditionalFormatting sqref="F6">
    <cfRule type="duplicateValues" dxfId="1" priority="13"/>
  </conditionalFormatting>
  <conditionalFormatting sqref="F6:G6">
    <cfRule type="duplicateValues" dxfId="1" priority="5"/>
  </conditionalFormatting>
  <conditionalFormatting sqref="G6">
    <cfRule type="duplicateValues" dxfId="1" priority="14"/>
  </conditionalFormatting>
  <conditionalFormatting sqref="H6">
    <cfRule type="duplicateValues" dxfId="1" priority="6"/>
  </conditionalFormatting>
  <conditionalFormatting sqref="I6">
    <cfRule type="duplicateValues" dxfId="1" priority="15"/>
  </conditionalFormatting>
  <conditionalFormatting sqref="I6:J6">
    <cfRule type="duplicateValues" dxfId="1" priority="7"/>
  </conditionalFormatting>
  <conditionalFormatting sqref="J6">
    <cfRule type="duplicateValues" dxfId="1" priority="16"/>
  </conditionalFormatting>
  <conditionalFormatting sqref="K6">
    <cfRule type="duplicateValues" dxfId="1" priority="4"/>
  </conditionalFormatting>
  <conditionalFormatting sqref="L6">
    <cfRule type="duplicateValues" dxfId="1" priority="17"/>
  </conditionalFormatting>
  <conditionalFormatting sqref="L6:M6">
    <cfRule type="duplicateValues" dxfId="1" priority="3"/>
  </conditionalFormatting>
  <conditionalFormatting sqref="M6">
    <cfRule type="duplicateValues" dxfId="1" priority="18"/>
  </conditionalFormatting>
  <conditionalFormatting sqref="N6">
    <cfRule type="duplicateValues" dxfId="1" priority="9"/>
  </conditionalFormatting>
  <conditionalFormatting sqref="O6">
    <cfRule type="duplicateValues" dxfId="1" priority="19"/>
  </conditionalFormatting>
  <conditionalFormatting sqref="O6:P6">
    <cfRule type="duplicateValues" dxfId="1" priority="8"/>
  </conditionalFormatting>
  <conditionalFormatting sqref="P6">
    <cfRule type="duplicateValues" dxfId="1" priority="20"/>
  </conditionalFormatting>
  <conditionalFormatting sqref="Q6">
    <cfRule type="duplicateValues" dxfId="1" priority="1"/>
  </conditionalFormatting>
  <conditionalFormatting sqref="R6">
    <cfRule type="duplicateValues" dxfId="1" priority="21"/>
  </conditionalFormatting>
  <conditionalFormatting sqref="R6:S6">
    <cfRule type="duplicateValues" dxfId="1" priority="2"/>
  </conditionalFormatting>
  <conditionalFormatting sqref="S6">
    <cfRule type="duplicateValues" dxfId="1" priority="22"/>
  </conditionalFormatting>
  <conditionalFormatting sqref="A7">
    <cfRule type="duplicateValues" dxfId="1" priority="33"/>
  </conditionalFormatting>
  <conditionalFormatting sqref="D7">
    <cfRule type="duplicateValues" dxfId="1" priority="32"/>
  </conditionalFormatting>
  <conditionalFormatting sqref="E7">
    <cfRule type="duplicateValues" dxfId="1" priority="34"/>
  </conditionalFormatting>
  <conditionalFormatting sqref="F7">
    <cfRule type="duplicateValues" dxfId="1" priority="35"/>
  </conditionalFormatting>
  <conditionalFormatting sqref="F7:G7">
    <cfRule type="duplicateValues" dxfId="1" priority="27"/>
  </conditionalFormatting>
  <conditionalFormatting sqref="G7">
    <cfRule type="duplicateValues" dxfId="1" priority="36"/>
  </conditionalFormatting>
  <conditionalFormatting sqref="H7">
    <cfRule type="duplicateValues" dxfId="1" priority="28"/>
  </conditionalFormatting>
  <conditionalFormatting sqref="I7">
    <cfRule type="duplicateValues" dxfId="1" priority="37"/>
  </conditionalFormatting>
  <conditionalFormatting sqref="I7:J7">
    <cfRule type="duplicateValues" dxfId="1" priority="29"/>
  </conditionalFormatting>
  <conditionalFormatting sqref="J7">
    <cfRule type="duplicateValues" dxfId="1" priority="38"/>
  </conditionalFormatting>
  <conditionalFormatting sqref="K7">
    <cfRule type="duplicateValues" dxfId="1" priority="26"/>
  </conditionalFormatting>
  <conditionalFormatting sqref="L7">
    <cfRule type="duplicateValues" dxfId="1" priority="39"/>
  </conditionalFormatting>
  <conditionalFormatting sqref="L7:M7">
    <cfRule type="duplicateValues" dxfId="1" priority="25"/>
  </conditionalFormatting>
  <conditionalFormatting sqref="M7">
    <cfRule type="duplicateValues" dxfId="1" priority="40"/>
  </conditionalFormatting>
  <conditionalFormatting sqref="N7">
    <cfRule type="duplicateValues" dxfId="1" priority="31"/>
  </conditionalFormatting>
  <conditionalFormatting sqref="O7">
    <cfRule type="duplicateValues" dxfId="1" priority="41"/>
  </conditionalFormatting>
  <conditionalFormatting sqref="O7:P7">
    <cfRule type="duplicateValues" dxfId="1" priority="30"/>
  </conditionalFormatting>
  <conditionalFormatting sqref="P7">
    <cfRule type="duplicateValues" dxfId="1" priority="42"/>
  </conditionalFormatting>
  <conditionalFormatting sqref="Q7">
    <cfRule type="duplicateValues" dxfId="1" priority="23"/>
  </conditionalFormatting>
  <conditionalFormatting sqref="R7">
    <cfRule type="duplicateValues" dxfId="1" priority="43"/>
  </conditionalFormatting>
  <conditionalFormatting sqref="R7:S7">
    <cfRule type="duplicateValues" dxfId="1" priority="24"/>
  </conditionalFormatting>
  <conditionalFormatting sqref="S7">
    <cfRule type="duplicateValues" dxfId="1" priority="44"/>
  </conditionalFormatting>
  <conditionalFormatting sqref="A10">
    <cfRule type="duplicateValues" dxfId="1" priority="55"/>
  </conditionalFormatting>
  <conditionalFormatting sqref="D10">
    <cfRule type="duplicateValues" dxfId="1" priority="54"/>
  </conditionalFormatting>
  <conditionalFormatting sqref="E10">
    <cfRule type="duplicateValues" dxfId="1" priority="57"/>
  </conditionalFormatting>
  <conditionalFormatting sqref="F10:G10">
    <cfRule type="duplicateValues" dxfId="1" priority="49"/>
  </conditionalFormatting>
  <conditionalFormatting sqref="F10">
    <cfRule type="duplicateValues" dxfId="1" priority="59"/>
  </conditionalFormatting>
  <conditionalFormatting sqref="G10">
    <cfRule type="duplicateValues" dxfId="1" priority="61"/>
  </conditionalFormatting>
  <conditionalFormatting sqref="H10">
    <cfRule type="duplicateValues" dxfId="1" priority="62"/>
  </conditionalFormatting>
  <conditionalFormatting sqref="I10:J10">
    <cfRule type="duplicateValues" dxfId="1" priority="51"/>
  </conditionalFormatting>
  <conditionalFormatting sqref="I10">
    <cfRule type="duplicateValues" dxfId="1" priority="63"/>
  </conditionalFormatting>
  <conditionalFormatting sqref="J10">
    <cfRule type="duplicateValues" dxfId="1" priority="64"/>
  </conditionalFormatting>
  <conditionalFormatting sqref="K10">
    <cfRule type="duplicateValues" dxfId="1" priority="65"/>
  </conditionalFormatting>
  <conditionalFormatting sqref="L10:M10">
    <cfRule type="duplicateValues" dxfId="1" priority="47"/>
  </conditionalFormatting>
  <conditionalFormatting sqref="L10">
    <cfRule type="duplicateValues" dxfId="1" priority="66"/>
  </conditionalFormatting>
  <conditionalFormatting sqref="M10">
    <cfRule type="duplicateValues" dxfId="1" priority="67"/>
  </conditionalFormatting>
  <conditionalFormatting sqref="N10">
    <cfRule type="duplicateValues" dxfId="1" priority="68"/>
  </conditionalFormatting>
  <conditionalFormatting sqref="O10:P10">
    <cfRule type="duplicateValues" dxfId="1" priority="52"/>
  </conditionalFormatting>
  <conditionalFormatting sqref="O10">
    <cfRule type="duplicateValues" dxfId="1" priority="69"/>
  </conditionalFormatting>
  <conditionalFormatting sqref="P10">
    <cfRule type="duplicateValues" dxfId="1" priority="70"/>
  </conditionalFormatting>
  <conditionalFormatting sqref="Q10">
    <cfRule type="duplicateValues" dxfId="1" priority="71"/>
  </conditionalFormatting>
  <conditionalFormatting sqref="R10:S10">
    <cfRule type="duplicateValues" dxfId="1" priority="46"/>
  </conditionalFormatting>
  <conditionalFormatting sqref="R10">
    <cfRule type="duplicateValues" dxfId="1" priority="72"/>
  </conditionalFormatting>
  <conditionalFormatting sqref="S10">
    <cfRule type="duplicateValues" dxfId="1" priority="73"/>
  </conditionalFormatting>
  <conditionalFormatting sqref="A11">
    <cfRule type="duplicateValues" dxfId="1" priority="113"/>
  </conditionalFormatting>
  <conditionalFormatting sqref="D11">
    <cfRule type="duplicateValues" dxfId="1" priority="112"/>
  </conditionalFormatting>
  <conditionalFormatting sqref="E11">
    <cfRule type="duplicateValues" dxfId="1" priority="114"/>
  </conditionalFormatting>
  <conditionalFormatting sqref="F11:G11">
    <cfRule type="duplicateValues" dxfId="1" priority="107"/>
  </conditionalFormatting>
  <conditionalFormatting sqref="F11">
    <cfRule type="duplicateValues" dxfId="1" priority="116"/>
  </conditionalFormatting>
  <conditionalFormatting sqref="G11">
    <cfRule type="duplicateValues" dxfId="1" priority="118"/>
  </conditionalFormatting>
  <conditionalFormatting sqref="H11">
    <cfRule type="duplicateValues" dxfId="1" priority="108"/>
  </conditionalFormatting>
  <conditionalFormatting sqref="I11:J11">
    <cfRule type="duplicateValues" dxfId="1" priority="109"/>
  </conditionalFormatting>
  <conditionalFormatting sqref="I11">
    <cfRule type="duplicateValues" dxfId="1" priority="121"/>
  </conditionalFormatting>
  <conditionalFormatting sqref="J11">
    <cfRule type="duplicateValues" dxfId="1" priority="122"/>
  </conditionalFormatting>
  <conditionalFormatting sqref="K11">
    <cfRule type="duplicateValues" dxfId="1" priority="106"/>
  </conditionalFormatting>
  <conditionalFormatting sqref="L11:M11">
    <cfRule type="duplicateValues" dxfId="1" priority="105"/>
  </conditionalFormatting>
  <conditionalFormatting sqref="L11">
    <cfRule type="duplicateValues" dxfId="1" priority="124"/>
  </conditionalFormatting>
  <conditionalFormatting sqref="M11">
    <cfRule type="duplicateValues" dxfId="1" priority="125"/>
  </conditionalFormatting>
  <conditionalFormatting sqref="N11">
    <cfRule type="duplicateValues" dxfId="1" priority="111"/>
  </conditionalFormatting>
  <conditionalFormatting sqref="O11:P11">
    <cfRule type="duplicateValues" dxfId="1" priority="110"/>
  </conditionalFormatting>
  <conditionalFormatting sqref="O11">
    <cfRule type="duplicateValues" dxfId="1" priority="127"/>
  </conditionalFormatting>
  <conditionalFormatting sqref="P11">
    <cfRule type="duplicateValues" dxfId="1" priority="128"/>
  </conditionalFormatting>
  <conditionalFormatting sqref="Q11">
    <cfRule type="duplicateValues" dxfId="1" priority="103"/>
  </conditionalFormatting>
  <conditionalFormatting sqref="R11:S11">
    <cfRule type="duplicateValues" dxfId="1" priority="104"/>
  </conditionalFormatting>
  <conditionalFormatting sqref="R11">
    <cfRule type="duplicateValues" dxfId="1" priority="130"/>
  </conditionalFormatting>
  <conditionalFormatting sqref="S11">
    <cfRule type="duplicateValues" dxfId="1" priority="131"/>
  </conditionalFormatting>
  <conditionalFormatting sqref="D12">
    <cfRule type="duplicateValues" dxfId="1" priority="9059"/>
  </conditionalFormatting>
  <conditionalFormatting sqref="E12">
    <cfRule type="duplicateValues" dxfId="1" priority="10877"/>
  </conditionalFormatting>
  <conditionalFormatting sqref="F12:G12">
    <cfRule type="duplicateValues" dxfId="1" priority="6441"/>
  </conditionalFormatting>
  <conditionalFormatting sqref="H12">
    <cfRule type="duplicateValues" dxfId="1" priority="6673"/>
  </conditionalFormatting>
  <conditionalFormatting sqref="I12:J12">
    <cfRule type="duplicateValues" dxfId="1" priority="6678"/>
  </conditionalFormatting>
  <conditionalFormatting sqref="K12">
    <cfRule type="duplicateValues" dxfId="1" priority="6427"/>
  </conditionalFormatting>
  <conditionalFormatting sqref="L12:M12">
    <cfRule type="duplicateValues" dxfId="1" priority="6423"/>
  </conditionalFormatting>
  <conditionalFormatting sqref="N12">
    <cfRule type="duplicateValues" dxfId="1" priority="6704"/>
  </conditionalFormatting>
  <conditionalFormatting sqref="O12:P12">
    <cfRule type="duplicateValues" dxfId="1" priority="6686"/>
  </conditionalFormatting>
  <conditionalFormatting sqref="Q12">
    <cfRule type="duplicateValues" dxfId="1" priority="6399"/>
  </conditionalFormatting>
  <conditionalFormatting sqref="R12:S12">
    <cfRule type="duplicateValues" dxfId="1" priority="6406"/>
  </conditionalFormatting>
  <conditionalFormatting sqref="D13">
    <cfRule type="duplicateValues" dxfId="1" priority="9466"/>
  </conditionalFormatting>
  <conditionalFormatting sqref="E13">
    <cfRule type="duplicateValues" dxfId="1" priority="10881"/>
  </conditionalFormatting>
  <conditionalFormatting sqref="F13:G13">
    <cfRule type="duplicateValues" dxfId="1" priority="9436"/>
  </conditionalFormatting>
  <conditionalFormatting sqref="H13">
    <cfRule type="duplicateValues" dxfId="1" priority="9433"/>
  </conditionalFormatting>
  <conditionalFormatting sqref="I13:J13">
    <cfRule type="duplicateValues" dxfId="1" priority="9474"/>
  </conditionalFormatting>
  <conditionalFormatting sqref="K13">
    <cfRule type="duplicateValues" dxfId="1" priority="9445"/>
  </conditionalFormatting>
  <conditionalFormatting sqref="L13:M13">
    <cfRule type="duplicateValues" dxfId="1" priority="9478"/>
  </conditionalFormatting>
  <conditionalFormatting sqref="N13">
    <cfRule type="duplicateValues" dxfId="1" priority="9450"/>
  </conditionalFormatting>
  <conditionalFormatting sqref="O13:P13">
    <cfRule type="duplicateValues" dxfId="1" priority="9451"/>
  </conditionalFormatting>
  <conditionalFormatting sqref="Q13">
    <cfRule type="duplicateValues" dxfId="1" priority="9482"/>
  </conditionalFormatting>
  <conditionalFormatting sqref="R13:S13">
    <cfRule type="duplicateValues" dxfId="1" priority="9458"/>
  </conditionalFormatting>
  <conditionalFormatting sqref="E18">
    <cfRule type="duplicateValues" dxfId="1" priority="10888"/>
  </conditionalFormatting>
  <conditionalFormatting sqref="H18">
    <cfRule type="duplicateValues" dxfId="1" priority="10685"/>
  </conditionalFormatting>
  <conditionalFormatting sqref="I18:J18">
    <cfRule type="duplicateValues" dxfId="1" priority="9427"/>
  </conditionalFormatting>
  <conditionalFormatting sqref="K18">
    <cfRule type="duplicateValues" dxfId="1" priority="9424"/>
  </conditionalFormatting>
  <conditionalFormatting sqref="L18:M18">
    <cfRule type="duplicateValues" dxfId="1" priority="9423"/>
  </conditionalFormatting>
  <conditionalFormatting sqref="N18">
    <cfRule type="duplicateValues" dxfId="1" priority="9420"/>
  </conditionalFormatting>
  <conditionalFormatting sqref="O18:P18">
    <cfRule type="duplicateValues" dxfId="1" priority="9419"/>
  </conditionalFormatting>
  <conditionalFormatting sqref="Q18">
    <cfRule type="duplicateValues" dxfId="1" priority="9416"/>
  </conditionalFormatting>
  <conditionalFormatting sqref="R18:S18">
    <cfRule type="duplicateValues" dxfId="1" priority="9415"/>
  </conditionalFormatting>
  <conditionalFormatting sqref="D20">
    <cfRule type="duplicateValues" dxfId="1" priority="6090"/>
  </conditionalFormatting>
  <conditionalFormatting sqref="E20">
    <cfRule type="duplicateValues" dxfId="1" priority="10900"/>
  </conditionalFormatting>
  <conditionalFormatting sqref="F20:G20">
    <cfRule type="duplicateValues" dxfId="1" priority="8110"/>
  </conditionalFormatting>
  <conditionalFormatting sqref="H20">
    <cfRule type="duplicateValues" dxfId="1" priority="6135"/>
  </conditionalFormatting>
  <conditionalFormatting sqref="I20:J20">
    <cfRule type="duplicateValues" dxfId="1" priority="8082"/>
  </conditionalFormatting>
  <conditionalFormatting sqref="K20">
    <cfRule type="duplicateValues" dxfId="1" priority="8103"/>
  </conditionalFormatting>
  <conditionalFormatting sqref="L20:M20">
    <cfRule type="duplicateValues" dxfId="1" priority="6118"/>
  </conditionalFormatting>
  <conditionalFormatting sqref="N20">
    <cfRule type="duplicateValues" dxfId="1" priority="8129"/>
  </conditionalFormatting>
  <conditionalFormatting sqref="O20:P20">
    <cfRule type="duplicateValues" dxfId="1" priority="8130"/>
  </conditionalFormatting>
  <conditionalFormatting sqref="Q20">
    <cfRule type="duplicateValues" dxfId="1" priority="6176"/>
  </conditionalFormatting>
  <conditionalFormatting sqref="R20:S20">
    <cfRule type="duplicateValues" dxfId="1" priority="6081"/>
  </conditionalFormatting>
  <conditionalFormatting sqref="A8:A9">
    <cfRule type="duplicateValues" dxfId="1" priority="250"/>
  </conditionalFormatting>
  <conditionalFormatting sqref="D8:D9">
    <cfRule type="duplicateValues" dxfId="1" priority="239"/>
  </conditionalFormatting>
  <conditionalFormatting sqref="D14:D17">
    <cfRule type="duplicateValues" dxfId="1" priority="11101"/>
  </conditionalFormatting>
  <conditionalFormatting sqref="E8:E9">
    <cfRule type="duplicateValues" dxfId="1" priority="253"/>
  </conditionalFormatting>
  <conditionalFormatting sqref="E14:E17">
    <cfRule type="duplicateValues" dxfId="1" priority="11111"/>
  </conditionalFormatting>
  <conditionalFormatting sqref="E21:E1048576">
    <cfRule type="duplicateValues" dxfId="1" priority="10910"/>
  </conditionalFormatting>
  <conditionalFormatting sqref="F14:F17">
    <cfRule type="duplicateValues" dxfId="1" priority="11132"/>
  </conditionalFormatting>
  <conditionalFormatting sqref="G14:G17">
    <cfRule type="duplicateValues" dxfId="1" priority="11155"/>
  </conditionalFormatting>
  <conditionalFormatting sqref="H8:H9">
    <cfRule type="duplicateValues" dxfId="1" priority="224"/>
  </conditionalFormatting>
  <conditionalFormatting sqref="H14:H17">
    <cfRule type="duplicateValues" dxfId="1" priority="11179"/>
  </conditionalFormatting>
  <conditionalFormatting sqref="I14:I17">
    <cfRule type="duplicateValues" dxfId="1" priority="11199"/>
  </conditionalFormatting>
  <conditionalFormatting sqref="J14:J17">
    <cfRule type="duplicateValues" dxfId="1" priority="11216"/>
  </conditionalFormatting>
  <conditionalFormatting sqref="K1:K4">
    <cfRule type="duplicateValues" dxfId="1" priority="9798"/>
  </conditionalFormatting>
  <conditionalFormatting sqref="K8:K9">
    <cfRule type="duplicateValues" dxfId="1" priority="222"/>
  </conditionalFormatting>
  <conditionalFormatting sqref="K14:K17">
    <cfRule type="duplicateValues" dxfId="1" priority="11236"/>
  </conditionalFormatting>
  <conditionalFormatting sqref="K21:K1048576">
    <cfRule type="duplicateValues" dxfId="1" priority="9795"/>
  </conditionalFormatting>
  <conditionalFormatting sqref="L1:L4">
    <cfRule type="duplicateValues" dxfId="1" priority="357"/>
  </conditionalFormatting>
  <conditionalFormatting sqref="L14:L17">
    <cfRule type="duplicateValues" dxfId="1" priority="11251"/>
  </conditionalFormatting>
  <conditionalFormatting sqref="L21:L1048576">
    <cfRule type="duplicateValues" dxfId="1" priority="356"/>
  </conditionalFormatting>
  <conditionalFormatting sqref="M1:M4">
    <cfRule type="duplicateValues" dxfId="1" priority="9797"/>
  </conditionalFormatting>
  <conditionalFormatting sqref="M14:M17">
    <cfRule type="duplicateValues" dxfId="1" priority="11269"/>
  </conditionalFormatting>
  <conditionalFormatting sqref="M21:M1048576">
    <cfRule type="duplicateValues" dxfId="1" priority="9794"/>
  </conditionalFormatting>
  <conditionalFormatting sqref="N8:N9">
    <cfRule type="duplicateValues" dxfId="1" priority="220"/>
  </conditionalFormatting>
  <conditionalFormatting sqref="N14:N17">
    <cfRule type="duplicateValues" dxfId="1" priority="11284"/>
  </conditionalFormatting>
  <conditionalFormatting sqref="O1:O4">
    <cfRule type="duplicateValues" dxfId="1" priority="347"/>
  </conditionalFormatting>
  <conditionalFormatting sqref="O14:O17">
    <cfRule type="duplicateValues" dxfId="1" priority="11303"/>
  </conditionalFormatting>
  <conditionalFormatting sqref="O21:O1048576">
    <cfRule type="duplicateValues" dxfId="1" priority="346"/>
  </conditionalFormatting>
  <conditionalFormatting sqref="P1:P4">
    <cfRule type="duplicateValues" dxfId="1" priority="9792"/>
  </conditionalFormatting>
  <conditionalFormatting sqref="P14:P17">
    <cfRule type="duplicateValues" dxfId="1" priority="11318"/>
  </conditionalFormatting>
  <conditionalFormatting sqref="P21:P1048576">
    <cfRule type="duplicateValues" dxfId="1" priority="9789"/>
  </conditionalFormatting>
  <conditionalFormatting sqref="Q8:Q9">
    <cfRule type="duplicateValues" dxfId="1" priority="236"/>
  </conditionalFormatting>
  <conditionalFormatting sqref="Q14:Q17">
    <cfRule type="duplicateValues" dxfId="1" priority="11347"/>
  </conditionalFormatting>
  <conditionalFormatting sqref="R1:R4">
    <cfRule type="duplicateValues" dxfId="1" priority="339"/>
  </conditionalFormatting>
  <conditionalFormatting sqref="R14:R17">
    <cfRule type="duplicateValues" dxfId="1" priority="11365"/>
  </conditionalFormatting>
  <conditionalFormatting sqref="R21:R1048576">
    <cfRule type="duplicateValues" dxfId="1" priority="338"/>
  </conditionalFormatting>
  <conditionalFormatting sqref="S1:S4">
    <cfRule type="duplicateValues" dxfId="1" priority="9787"/>
  </conditionalFormatting>
  <conditionalFormatting sqref="S14:S17">
    <cfRule type="duplicateValues" dxfId="1" priority="11401"/>
  </conditionalFormatting>
  <conditionalFormatting sqref="S21:S1048576">
    <cfRule type="duplicateValues" dxfId="1" priority="9784"/>
  </conditionalFormatting>
  <conditionalFormatting sqref="A1:A5 A12:A1048576">
    <cfRule type="duplicateValues" dxfId="1" priority="9759"/>
  </conditionalFormatting>
  <conditionalFormatting sqref="E1:E5 E8:E9 E12:E1048576">
    <cfRule type="duplicateValues" dxfId="1" priority="11426"/>
  </conditionalFormatting>
  <conditionalFormatting sqref="E1:E5 E21:E1048576">
    <cfRule type="duplicateValues" dxfId="1" priority="10908"/>
  </conditionalFormatting>
  <conditionalFormatting sqref="F1:F5 F8:F9 F12:F1048576">
    <cfRule type="duplicateValues" dxfId="1" priority="11435"/>
  </conditionalFormatting>
  <conditionalFormatting sqref="F1:F5 F21:F1048576">
    <cfRule type="duplicateValues" dxfId="1" priority="324"/>
  </conditionalFormatting>
  <conditionalFormatting sqref="G1:G5 G8:G9 G12:G1048576">
    <cfRule type="duplicateValues" dxfId="1" priority="11456"/>
  </conditionalFormatting>
  <conditionalFormatting sqref="G1:G5 G21:G1048576">
    <cfRule type="duplicateValues" dxfId="1" priority="9804"/>
  </conditionalFormatting>
  <conditionalFormatting sqref="H1:H5 H8:H9 H12:H1048576">
    <cfRule type="duplicateValues" dxfId="1" priority="11464"/>
  </conditionalFormatting>
  <conditionalFormatting sqref="H1:H4 H21:H1048576">
    <cfRule type="duplicateValues" dxfId="1" priority="9800"/>
  </conditionalFormatting>
  <conditionalFormatting sqref="I1:I5 I8:I9 I12:I1048576">
    <cfRule type="duplicateValues" dxfId="1" priority="11473"/>
  </conditionalFormatting>
  <conditionalFormatting sqref="I1:I4 I21:I1048576">
    <cfRule type="duplicateValues" dxfId="1" priority="365"/>
  </conditionalFormatting>
  <conditionalFormatting sqref="J1:J5 J8:J9 J12:J1048576">
    <cfRule type="duplicateValues" dxfId="1" priority="11481"/>
  </conditionalFormatting>
  <conditionalFormatting sqref="J1:J4 J21:J1048576">
    <cfRule type="duplicateValues" dxfId="1" priority="9799"/>
  </conditionalFormatting>
  <conditionalFormatting sqref="K1:K5 K8:K9 K12:K1048576">
    <cfRule type="duplicateValues" dxfId="1" priority="11488"/>
  </conditionalFormatting>
  <conditionalFormatting sqref="L1:L5 L8:L9 L12:L1048576">
    <cfRule type="duplicateValues" dxfId="1" priority="11497"/>
  </conditionalFormatting>
  <conditionalFormatting sqref="M1:M5 M8:M9 M12:M1048576">
    <cfRule type="duplicateValues" dxfId="1" priority="11507"/>
  </conditionalFormatting>
  <conditionalFormatting sqref="N1:N5 N8:N9 N12:N1048576">
    <cfRule type="duplicateValues" dxfId="1" priority="11512"/>
  </conditionalFormatting>
  <conditionalFormatting sqref="N1:N4 N21:N1048576">
    <cfRule type="duplicateValues" dxfId="1" priority="9790"/>
  </conditionalFormatting>
  <conditionalFormatting sqref="O1:O5 O8:O9 O12:O1048576">
    <cfRule type="duplicateValues" dxfId="1" priority="11518"/>
  </conditionalFormatting>
  <conditionalFormatting sqref="P1:P5 P8:P9 P12:P1048576">
    <cfRule type="duplicateValues" dxfId="1" priority="11525"/>
  </conditionalFormatting>
  <conditionalFormatting sqref="Q1:Q5 Q8:Q9 Q12:Q1048576">
    <cfRule type="duplicateValues" dxfId="1" priority="11529"/>
  </conditionalFormatting>
  <conditionalFormatting sqref="Q1:Q4 Q21:Q1048576">
    <cfRule type="duplicateValues" dxfId="1" priority="9785"/>
  </conditionalFormatting>
  <conditionalFormatting sqref="R1:R5 R8:R9 R12:R1048576">
    <cfRule type="duplicateValues" dxfId="1" priority="11543"/>
  </conditionalFormatting>
  <conditionalFormatting sqref="S1:S5 S8:S9 S12:S1048576">
    <cfRule type="duplicateValues" dxfId="1" priority="11558"/>
  </conditionalFormatting>
  <conditionalFormatting sqref="F8:G9">
    <cfRule type="duplicateValues" dxfId="1" priority="216"/>
  </conditionalFormatting>
  <conditionalFormatting sqref="F8:F9 F12:F20">
    <cfRule type="duplicateValues" dxfId="1" priority="11443"/>
  </conditionalFormatting>
  <conditionalFormatting sqref="G8:G9 G12:G20">
    <cfRule type="duplicateValues" dxfId="1" priority="11461"/>
  </conditionalFormatting>
  <conditionalFormatting sqref="I8:J9">
    <cfRule type="duplicateValues" dxfId="1" priority="243"/>
  </conditionalFormatting>
  <conditionalFormatting sqref="L8:M9">
    <cfRule type="duplicateValues" dxfId="1" priority="245"/>
  </conditionalFormatting>
  <conditionalFormatting sqref="O8:P9">
    <cfRule type="duplicateValues" dxfId="1" priority="247"/>
  </conditionalFormatting>
  <conditionalFormatting sqref="R8:S9">
    <cfRule type="duplicateValues" dxfId="1" priority="217"/>
  </conditionalFormatting>
  <conditionalFormatting sqref="D18:D19 D13">
    <cfRule type="duplicateValues" dxfId="1" priority="10692"/>
  </conditionalFormatting>
  <conditionalFormatting sqref="E18:E19 E13">
    <cfRule type="duplicateValues" dxfId="1" priority="10869"/>
  </conditionalFormatting>
  <conditionalFormatting sqref="E18:E20 E13">
    <cfRule type="duplicateValues" dxfId="1" priority="10865"/>
  </conditionalFormatting>
  <conditionalFormatting sqref="F18:G19 F13:G13">
    <cfRule type="duplicateValues" dxfId="1" priority="10642"/>
  </conditionalFormatting>
  <conditionalFormatting sqref="F18:G20 F13:G13">
    <cfRule type="duplicateValues" dxfId="1" priority="10833"/>
  </conditionalFormatting>
  <conditionalFormatting sqref="H18:H19 H13">
    <cfRule type="duplicateValues" dxfId="1" priority="10646"/>
  </conditionalFormatting>
  <conditionalFormatting sqref="I18:J19 I13:J13">
    <cfRule type="duplicateValues" dxfId="1" priority="10649"/>
  </conditionalFormatting>
  <conditionalFormatting sqref="K18:K19 K13">
    <cfRule type="duplicateValues" dxfId="1" priority="10655"/>
  </conditionalFormatting>
  <conditionalFormatting sqref="K13 K19">
    <cfRule type="duplicateValues" dxfId="1" priority="10731"/>
  </conditionalFormatting>
  <conditionalFormatting sqref="L18:M19 L13:M13">
    <cfRule type="duplicateValues" dxfId="1" priority="10652"/>
  </conditionalFormatting>
  <conditionalFormatting sqref="L13:M13 L19:M19">
    <cfRule type="duplicateValues" dxfId="1" priority="10734"/>
  </conditionalFormatting>
  <conditionalFormatting sqref="N18:N19 N13">
    <cfRule type="duplicateValues" dxfId="1" priority="10659"/>
  </conditionalFormatting>
  <conditionalFormatting sqref="O18:P19 O13:P13">
    <cfRule type="duplicateValues" dxfId="1" priority="10662"/>
  </conditionalFormatting>
  <conditionalFormatting sqref="O18:P20 O13:P13">
    <cfRule type="duplicateValues" dxfId="1" priority="10838"/>
  </conditionalFormatting>
  <conditionalFormatting sqref="Q18:Q19 Q13">
    <cfRule type="duplicateValues" dxfId="1" priority="10720"/>
  </conditionalFormatting>
  <conditionalFormatting sqref="Q13 Q19">
    <cfRule type="duplicateValues" dxfId="1" priority="10737"/>
  </conditionalFormatting>
  <conditionalFormatting sqref="R18:S19 R13:S13">
    <cfRule type="duplicateValues" dxfId="1" priority="10681"/>
  </conditionalFormatting>
  <conditionalFormatting sqref="R18:S20 R13:S13">
    <cfRule type="duplicateValues" dxfId="1" priority="10843"/>
  </conditionalFormatting>
  <conditionalFormatting sqref="R13:S13 R19:S19">
    <cfRule type="duplicateValues" dxfId="1" priority="10740"/>
  </conditionalFormatting>
  <printOptions horizontalCentered="1" verticalCentered="1"/>
  <pageMargins left="0.708661417322835" right="0" top="0" bottom="0" header="0" footer="0"/>
  <pageSetup paperSize="1" scale="44" fitToWidth="0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8:H12"/>
  <sheetViews>
    <sheetView workbookViewId="0">
      <selection activeCell="K22" sqref="K22"/>
    </sheetView>
  </sheetViews>
  <sheetFormatPr defaultColWidth="11" defaultRowHeight="15" outlineLevelCol="7"/>
  <sheetData>
    <row r="8" spans="4:8">
      <c r="D8" t="s">
        <v>70</v>
      </c>
      <c r="G8" t="s">
        <v>71</v>
      </c>
      <c r="H8" t="s">
        <v>72</v>
      </c>
    </row>
    <row r="9" spans="4:4">
      <c r="D9" t="s">
        <v>73</v>
      </c>
    </row>
    <row r="10" spans="4:4">
      <c r="D10" t="s">
        <v>74</v>
      </c>
    </row>
    <row r="11" spans="4:4">
      <c r="D11" t="s">
        <v>75</v>
      </c>
    </row>
    <row r="12" spans="4:4">
      <c r="D12" t="s">
        <v>76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bitacora diurno</vt:lpstr>
      <vt:lpstr>concentrado diur.</vt:lpstr>
      <vt:lpstr>FECHAS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Pasillo2</dc:creator>
  <cp:lastModifiedBy>Prefectura NV 1</cp:lastModifiedBy>
  <dcterms:created xsi:type="dcterms:W3CDTF">2024-03-15T14:35:00Z</dcterms:created>
  <cp:lastPrinted>2025-04-04T17:38:00Z</cp:lastPrinted>
  <dcterms:modified xsi:type="dcterms:W3CDTF">2026-02-16T12:52:11Z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D007A8B5B7E74838A49668E423F239E3_12</vt:lpwstr>
  </property>
  <property fmtid="{D5CDD505-2E9C-101B-9397-08002B2CF9AE}" pid="3" name="KSOProductBuildVer">
    <vt:lpwstr>2058-12.2.0.23196</vt:lpwstr>
  </property>
</Properties>
</file>